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<sst xmlns="http://schemas.openxmlformats.org/spreadsheetml/2006/main" count="1088" uniqueCount="240">
  <si>
    <t xml:space="preserve">Bahis Tipi</t>
  </si>
  <si>
    <t xml:space="preserve">Tercih</t>
  </si>
  <si>
    <t xml:space="preserve">Olasılıklar</t>
  </si>
  <si>
    <t xml:space="preserve">Oranlar</t>
  </si>
  <si>
    <t xml:space="preserve">Değer</t>
  </si>
  <si>
    <t xml:space="preserve">Kelly</t>
  </si>
  <si>
    <t xml:space="preserve">Tutarsa Getiri</t>
  </si>
  <si>
    <t xml:space="preserve">Potansiyel Getiri</t>
  </si>
  <si>
    <t xml:space="preserve">Para</t>
  </si>
  <si>
    <t xml:space="preserve">Tutarsa</t>
  </si>
  <si>
    <t xml:space="preserve">Yatarsa</t>
  </si>
  <si>
    <t xml:space="preserve">Ağırlıklı Bakiye</t>
  </si>
  <si>
    <t xml:space="preserve">Maç Sonucu</t>
  </si>
  <si>
    <t xml:space="preserve">MS1</t>
  </si>
  <si>
    <t xml:space="preserve">Toplam Gol Alt / Üst</t>
  </si>
  <si>
    <t xml:space="preserve">0.5 ÜST</t>
  </si>
  <si>
    <t xml:space="preserve">İkinci Yarı Karşılıklı Gol</t>
  </si>
  <si>
    <t xml:space="preserve">Hayır</t>
  </si>
  <si>
    <t xml:space="preserve">MS0</t>
  </si>
  <si>
    <t xml:space="preserve">4.5 ALT</t>
  </si>
  <si>
    <t xml:space="preserve">3.5 ALT</t>
  </si>
  <si>
    <t xml:space="preserve">MS2</t>
  </si>
  <si>
    <t xml:space="preserve">5.5 ALT</t>
  </si>
  <si>
    <t xml:space="preserve">Deplasman Alt / Üst</t>
  </si>
  <si>
    <t xml:space="preserve">1.5 Alt</t>
  </si>
  <si>
    <t xml:space="preserve">0.5 ALT</t>
  </si>
  <si>
    <t xml:space="preserve">5.5 ÜST</t>
  </si>
  <si>
    <t xml:space="preserve">İlk Yarı Çifte Şans</t>
  </si>
  <si>
    <t xml:space="preserve">1 ve 0</t>
  </si>
  <si>
    <t xml:space="preserve">İlk Yarı Alt / Üst</t>
  </si>
  <si>
    <t xml:space="preserve">2.5 ALT</t>
  </si>
  <si>
    <t xml:space="preserve">1.5 ALT</t>
  </si>
  <si>
    <t xml:space="preserve">Ev Sahibi Alt / Üst</t>
  </si>
  <si>
    <t xml:space="preserve">2.5 Alt</t>
  </si>
  <si>
    <t xml:space="preserve">1.5 ÜST</t>
  </si>
  <si>
    <t xml:space="preserve">Hangi Yarıda Daha Çok Gol Olur</t>
  </si>
  <si>
    <t xml:space="preserve">Eşit</t>
  </si>
  <si>
    <t xml:space="preserve">Handikaplı Maç Sonucu</t>
  </si>
  <si>
    <t xml:space="preserve">1 (2:0)</t>
  </si>
  <si>
    <t xml:space="preserve">Ev Sahibi Takım Gol Yemeden Kazanır mı?</t>
  </si>
  <si>
    <t xml:space="preserve">2.5 ÜST</t>
  </si>
  <si>
    <t xml:space="preserve">0 (2:0)</t>
  </si>
  <si>
    <t xml:space="preserve">Tek / Çift</t>
  </si>
  <si>
    <t xml:space="preserve">Çift</t>
  </si>
  <si>
    <t xml:space="preserve">2 (2:0)</t>
  </si>
  <si>
    <t xml:space="preserve">3.5 ÜST</t>
  </si>
  <si>
    <t xml:space="preserve">2 (0:2)</t>
  </si>
  <si>
    <t xml:space="preserve">Deplasman Yarı Kazanır</t>
  </si>
  <si>
    <t xml:space="preserve">Deplasman Takım Gol Yemeden Kazanır mı?</t>
  </si>
  <si>
    <t xml:space="preserve">Çifte Şans</t>
  </si>
  <si>
    <t xml:space="preserve">4.5 ÜST</t>
  </si>
  <si>
    <t xml:space="preserve">Ev Sahibi Takım Her İki Yarıyı da Kazanır mı</t>
  </si>
  <si>
    <t xml:space="preserve">1 (1:0)</t>
  </si>
  <si>
    <t xml:space="preserve">Deplasman Takımı Her İki Yarıyı da Kazanır mı</t>
  </si>
  <si>
    <t xml:space="preserve">İki Yarı da Alt 1.5</t>
  </si>
  <si>
    <t xml:space="preserve">Evet</t>
  </si>
  <si>
    <t xml:space="preserve">İlk Yarı Karşılıklı Gol Var</t>
  </si>
  <si>
    <t xml:space="preserve">Yok</t>
  </si>
  <si>
    <t xml:space="preserve">Maç Sonucu ve Alt / Üst 2.5</t>
  </si>
  <si>
    <t xml:space="preserve">0 ve 2.5 Alt</t>
  </si>
  <si>
    <t xml:space="preserve">İlk Yarı / Maç Sonucu</t>
  </si>
  <si>
    <t xml:space="preserve">1 / 1</t>
  </si>
  <si>
    <t xml:space="preserve">İki Yarı da Üst 1.5</t>
  </si>
  <si>
    <t xml:space="preserve">Maç Sonucu ve Alt / Üst 3.5</t>
  </si>
  <si>
    <t xml:space="preserve">0 ve 3.5 Alt</t>
  </si>
  <si>
    <t xml:space="preserve">1 / 0</t>
  </si>
  <si>
    <t xml:space="preserve">Deplasman İlk Yarı Altı/Üstü</t>
  </si>
  <si>
    <t xml:space="preserve">Alt 0.5</t>
  </si>
  <si>
    <t xml:space="preserve">1 / 2</t>
  </si>
  <si>
    <t xml:space="preserve">Maç Sonucu ve Alt / Üst 1.5</t>
  </si>
  <si>
    <t xml:space="preserve">0 ve 1.5 Alt</t>
  </si>
  <si>
    <t xml:space="preserve">0 / 1</t>
  </si>
  <si>
    <t xml:space="preserve">Ev Sahibi Takım Hangi Yarıda Daha Çok Gol Atar</t>
  </si>
  <si>
    <t xml:space="preserve">0 / 0</t>
  </si>
  <si>
    <t xml:space="preserve">0 / 2</t>
  </si>
  <si>
    <t xml:space="preserve">Maç Sonucu ve Alt / Üst 4.5</t>
  </si>
  <si>
    <t xml:space="preserve">0 ve 4.5 Alt</t>
  </si>
  <si>
    <t xml:space="preserve">2 / 1</t>
  </si>
  <si>
    <t xml:space="preserve">İY/MS Skorları</t>
  </si>
  <si>
    <t xml:space="preserve">1 – 0 / 2 – 0</t>
  </si>
  <si>
    <t xml:space="preserve">2 / 0</t>
  </si>
  <si>
    <t xml:space="preserve">Hangi Takım Kaç Farkla Kazanır</t>
  </si>
  <si>
    <t xml:space="preserve">Ev 2</t>
  </si>
  <si>
    <t xml:space="preserve">2 / 2</t>
  </si>
  <si>
    <t xml:space="preserve">Karşılıklı Gol</t>
  </si>
  <si>
    <t xml:space="preserve">VAR</t>
  </si>
  <si>
    <t xml:space="preserve">İkinci Yarı Sonucu</t>
  </si>
  <si>
    <t xml:space="preserve">YOK</t>
  </si>
  <si>
    <t xml:space="preserve">0 – 0 / 0 – 0</t>
  </si>
  <si>
    <t xml:space="preserve">Maç Skoru</t>
  </si>
  <si>
    <t xml:space="preserve">0 – 0</t>
  </si>
  <si>
    <t xml:space="preserve">0 – 2 / 0 – 3</t>
  </si>
  <si>
    <t xml:space="preserve">2 – 1 / 2 – 1</t>
  </si>
  <si>
    <t xml:space="preserve">Maç Sonucu ve Karşılıklı Gol</t>
  </si>
  <si>
    <t xml:space="preserve">0 ve Yok</t>
  </si>
  <si>
    <t xml:space="preserve">İlk Yarı Sonucu</t>
  </si>
  <si>
    <t xml:space="preserve">Toplam Gol</t>
  </si>
  <si>
    <t xml:space="preserve">2-3 gol</t>
  </si>
  <si>
    <t xml:space="preserve">0.5 Alt</t>
  </si>
  <si>
    <t xml:space="preserve">İlk Yarı Skoru</t>
  </si>
  <si>
    <t xml:space="preserve">2 – 1</t>
  </si>
  <si>
    <t xml:space="preserve">1 ve 1.5 Alt</t>
  </si>
  <si>
    <t xml:space="preserve">Altı/Üstü ve Karşılıklı Gol</t>
  </si>
  <si>
    <t xml:space="preserve">Alt ve Yok 2.5</t>
  </si>
  <si>
    <t xml:space="preserve">0 – 1 / 2 – 1</t>
  </si>
  <si>
    <t xml:space="preserve">2 ve 1.5 Alt</t>
  </si>
  <si>
    <t xml:space="preserve">2 – 0 / 2 – 1</t>
  </si>
  <si>
    <t xml:space="preserve">1 ve 1.5 Üst</t>
  </si>
  <si>
    <t xml:space="preserve">2 – 0</t>
  </si>
  <si>
    <t xml:space="preserve">0 ve 1.5 Üst</t>
  </si>
  <si>
    <t xml:space="preserve">0.5 Üst</t>
  </si>
  <si>
    <t xml:space="preserve">2 ve 1.5 Üst</t>
  </si>
  <si>
    <t xml:space="preserve">0-1 gol</t>
  </si>
  <si>
    <t xml:space="preserve">1 ve 2.5 Alt</t>
  </si>
  <si>
    <t xml:space="preserve">2 ve 2.5 Alt</t>
  </si>
  <si>
    <t xml:space="preserve">0 – 0 / 1 – 1</t>
  </si>
  <si>
    <t xml:space="preserve">1 ve 2.5 Üst</t>
  </si>
  <si>
    <t xml:space="preserve">0 ve 2.5 Üst</t>
  </si>
  <si>
    <t xml:space="preserve">1 – 1 / 2 – 1</t>
  </si>
  <si>
    <t xml:space="preserve">2 ve 2.5 Üst</t>
  </si>
  <si>
    <t xml:space="preserve">1 – 0 / 1 – 2</t>
  </si>
  <si>
    <t xml:space="preserve">1 ve 3.5 Alt</t>
  </si>
  <si>
    <t xml:space="preserve">2 – 0 / 2 – 0</t>
  </si>
  <si>
    <t xml:space="preserve">2 ve 3.5 Alt</t>
  </si>
  <si>
    <t xml:space="preserve">1 ve 3.5 Üst</t>
  </si>
  <si>
    <t xml:space="preserve">0 ve 3.5 Üst</t>
  </si>
  <si>
    <t xml:space="preserve">2 ve 3.5 Üst</t>
  </si>
  <si>
    <t xml:space="preserve">1 ve 4.5 Alt</t>
  </si>
  <si>
    <t xml:space="preserve">2 ve 4.5 Alt</t>
  </si>
  <si>
    <t xml:space="preserve">1 ve 4.5 Üst</t>
  </si>
  <si>
    <t xml:space="preserve">0 ve 4.5 Üst</t>
  </si>
  <si>
    <t xml:space="preserve">2 ve 4.5 Üst</t>
  </si>
  <si>
    <t xml:space="preserve">1 ve 2</t>
  </si>
  <si>
    <t xml:space="preserve">0 ve 2</t>
  </si>
  <si>
    <t xml:space="preserve">0 – 1 / 1 – 1</t>
  </si>
  <si>
    <t xml:space="preserve">1.5 Üst</t>
  </si>
  <si>
    <t xml:space="preserve">3 – 1</t>
  </si>
  <si>
    <t xml:space="preserve">1 – 1 / 4+</t>
  </si>
  <si>
    <t xml:space="preserve">2.5 Üst</t>
  </si>
  <si>
    <t xml:space="preserve">Dep 3+</t>
  </si>
  <si>
    <t xml:space="preserve">0 – 3</t>
  </si>
  <si>
    <t xml:space="preserve">0 – 1 / 0 – 3</t>
  </si>
  <si>
    <t xml:space="preserve">1 – 4</t>
  </si>
  <si>
    <t xml:space="preserve">2 – 1 / 4+</t>
  </si>
  <si>
    <t xml:space="preserve">Diğer</t>
  </si>
  <si>
    <t xml:space="preserve">1 – 3</t>
  </si>
  <si>
    <t xml:space="preserve">1 (0:1)</t>
  </si>
  <si>
    <t xml:space="preserve">İlk Yarı Sonucu ve İlk Yarı Karşılıklı Gol</t>
  </si>
  <si>
    <t xml:space="preserve">1 ve Var</t>
  </si>
  <si>
    <t xml:space="preserve">0 (0:1)</t>
  </si>
  <si>
    <t xml:space="preserve">2 (0:1)</t>
  </si>
  <si>
    <t xml:space="preserve">2 – 2</t>
  </si>
  <si>
    <t xml:space="preserve">Alt ve Var 2.5</t>
  </si>
  <si>
    <t xml:space="preserve">0 (1:0)</t>
  </si>
  <si>
    <t xml:space="preserve">5 – 0</t>
  </si>
  <si>
    <t xml:space="preserve">2 (1:0)</t>
  </si>
  <si>
    <t xml:space="preserve">5 – 1</t>
  </si>
  <si>
    <t xml:space="preserve">6 – 0</t>
  </si>
  <si>
    <t xml:space="preserve">0 – 5</t>
  </si>
  <si>
    <t xml:space="preserve">1 – 5</t>
  </si>
  <si>
    <t xml:space="preserve">1 (0:2)</t>
  </si>
  <si>
    <t xml:space="preserve">0 – 6</t>
  </si>
  <si>
    <t xml:space="preserve">0 (0:2)</t>
  </si>
  <si>
    <t xml:space="preserve">1 – 0 / 1 – 0</t>
  </si>
  <si>
    <t xml:space="preserve">0 – 1 / 1 – 2</t>
  </si>
  <si>
    <t xml:space="preserve">1 – 2 / 4+</t>
  </si>
  <si>
    <t xml:space="preserve">2 – 4</t>
  </si>
  <si>
    <t xml:space="preserve">4-5 gol</t>
  </si>
  <si>
    <t xml:space="preserve">İlk Yarı Tek/Çift</t>
  </si>
  <si>
    <t xml:space="preserve">Tek</t>
  </si>
  <si>
    <t xml:space="preserve">6+ gol</t>
  </si>
  <si>
    <t xml:space="preserve">0 – 4</t>
  </si>
  <si>
    <t xml:space="preserve">0 – 0 / 1 – 2</t>
  </si>
  <si>
    <t xml:space="preserve">4 – 1</t>
  </si>
  <si>
    <t xml:space="preserve">0 – 0 / 0 – 3</t>
  </si>
  <si>
    <t xml:space="preserve">0 – 0 / 3 – 0</t>
  </si>
  <si>
    <t xml:space="preserve">0 – 2 / 1 – 2</t>
  </si>
  <si>
    <t xml:space="preserve">Deplasman Takım Hangi Yarıda Daha Çok Gol Atar</t>
  </si>
  <si>
    <t xml:space="preserve">3 – 0 / 3 – 0</t>
  </si>
  <si>
    <t xml:space="preserve">1 – 2 / 1 – 2</t>
  </si>
  <si>
    <t xml:space="preserve">0 – 3 / 0 – 3</t>
  </si>
  <si>
    <t xml:space="preserve">0 – 3 / 4+</t>
  </si>
  <si>
    <t xml:space="preserve">4 – 2</t>
  </si>
  <si>
    <t xml:space="preserve">1 – 0 / 1 – 1</t>
  </si>
  <si>
    <t xml:space="preserve">1 – 2</t>
  </si>
  <si>
    <t xml:space="preserve">0 – 2 / 0 – 2</t>
  </si>
  <si>
    <t xml:space="preserve">3 – 0 / 4+</t>
  </si>
  <si>
    <t xml:space="preserve">3 – 3</t>
  </si>
  <si>
    <t xml:space="preserve">3 – 2</t>
  </si>
  <si>
    <t xml:space="preserve">Ev 3+</t>
  </si>
  <si>
    <t xml:space="preserve">0 – 0 / 4+</t>
  </si>
  <si>
    <t xml:space="preserve">Ev Sahibi Yarı Kazanır</t>
  </si>
  <si>
    <t xml:space="preserve">Ev 1</t>
  </si>
  <si>
    <t xml:space="preserve">Dep 1</t>
  </si>
  <si>
    <t xml:space="preserve">2 – 0 / 3 – 0</t>
  </si>
  <si>
    <t xml:space="preserve">Dep 2</t>
  </si>
  <si>
    <t xml:space="preserve">4 – 0</t>
  </si>
  <si>
    <t xml:space="preserve">0 – 0 / 0 – 2</t>
  </si>
  <si>
    <t xml:space="preserve">İlk Yarı Sonucu ve İlk Yarı Altı/Üstü</t>
  </si>
  <si>
    <t xml:space="preserve">1 ve Alt 1.5</t>
  </si>
  <si>
    <t xml:space="preserve">0 – 0 / 2 – 0</t>
  </si>
  <si>
    <t xml:space="preserve">0 – 1 / 0 – 2</t>
  </si>
  <si>
    <t xml:space="preserve">1 – 0</t>
  </si>
  <si>
    <t xml:space="preserve">0 – 0 / 0 – 1</t>
  </si>
  <si>
    <t xml:space="preserve">0 – 0 / 2 – 1</t>
  </si>
  <si>
    <t xml:space="preserve">1 – 0 / 3 – 0</t>
  </si>
  <si>
    <t xml:space="preserve">3 – 0</t>
  </si>
  <si>
    <t xml:space="preserve">1 – 1 / 1 – 2</t>
  </si>
  <si>
    <t xml:space="preserve">2 ve Var</t>
  </si>
  <si>
    <t xml:space="preserve">0 ve Üst 1.5</t>
  </si>
  <si>
    <t xml:space="preserve">0 – 1 / 4+</t>
  </si>
  <si>
    <t xml:space="preserve">1 – 1</t>
  </si>
  <si>
    <t xml:space="preserve">0 – 2 / 4+</t>
  </si>
  <si>
    <t xml:space="preserve">1 – 1 / 1 – 1</t>
  </si>
  <si>
    <t xml:space="preserve">4+ / 4+</t>
  </si>
  <si>
    <t xml:space="preserve">0 – 1</t>
  </si>
  <si>
    <t xml:space="preserve">0 – 2</t>
  </si>
  <si>
    <t xml:space="preserve">2 – 3</t>
  </si>
  <si>
    <t xml:space="preserve">Ev Sahibi İlk Yarı Altı/Üstü</t>
  </si>
  <si>
    <t xml:space="preserve">Üst 0.5</t>
  </si>
  <si>
    <t xml:space="preserve">2 – 0 / 4+</t>
  </si>
  <si>
    <t xml:space="preserve">1 ve Yok</t>
  </si>
  <si>
    <t xml:space="preserve">0 ve Var</t>
  </si>
  <si>
    <t xml:space="preserve">1 – 0 / 4+</t>
  </si>
  <si>
    <t xml:space="preserve">0 – 1 / 0 – 1</t>
  </si>
  <si>
    <t xml:space="preserve">2 ve Yok</t>
  </si>
  <si>
    <t xml:space="preserve">1 – 0 / 2 – 1</t>
  </si>
  <si>
    <t xml:space="preserve">2 ve Alt 1.5</t>
  </si>
  <si>
    <t xml:space="preserve">Üst ve Var 2.5</t>
  </si>
  <si>
    <t xml:space="preserve">1 ve Üst 1.5</t>
  </si>
  <si>
    <t xml:space="preserve">Üst ve Yok 2.5</t>
  </si>
  <si>
    <t xml:space="preserve">0 ve Alt 1.5</t>
  </si>
  <si>
    <t xml:space="preserve">Var</t>
  </si>
  <si>
    <t xml:space="preserve">0 – 0 / 1 – 0</t>
  </si>
  <si>
    <t xml:space="preserve">2 ve Üst 1.5</t>
  </si>
  <si>
    <t xml:space="preserve">3.5 Alt</t>
  </si>
  <si>
    <t xml:space="preserve">3.5 Üst</t>
  </si>
  <si>
    <t xml:space="preserve">1 (3:0)</t>
  </si>
  <si>
    <t xml:space="preserve">0 (3:0)</t>
  </si>
  <si>
    <t xml:space="preserve">2 (3:0)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</si>
</sst>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53"/>
  <sheetViews>
    <sheetView showFormulas="false" showGridLines="true" showRowColHeaders="true" showZeros="true" rightToLeft="false" tabSelected="true" showOutlineSymbols="true" defaultGridColor="true" view="normal" topLeftCell="P1" colorId="64" zoomScale="120" zoomScaleNormal="120" zoomScalePageLayoutView="100" workbookViewId="0">
      <selection pane="topLeft" activeCell="Z5" activeCellId="0" sqref="Z5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41.03"/>
    <col collapsed="false" customWidth="true" hidden="false" outlineLevel="0" max="3" min="3" style="0" width="12.56"/>
    <col collapsed="false" customWidth="true" hidden="false" outlineLevel="0" max="4" min="4" style="0" width="9.78"/>
    <col collapsed="false" customWidth="true" hidden="false" outlineLevel="0" max="17" min="17" style="0" width="4.6"/>
    <col collapsed="false" customWidth="true" hidden="false" outlineLevel="0" max="18" min="18" style="0" width="41.87"/>
    <col collapsed="false" customWidth="true" hidden="false" outlineLevel="0" max="19" min="19" style="0" width="12.25"/>
    <col collapsed="false" customWidth="true" hidden="false" outlineLevel="0" max="20" min="20" style="0" width="9.69"/>
    <col collapsed="false" customWidth="true" hidden="false" outlineLevel="0" max="21" min="21" style="0" width="7.61"/>
    <col collapsed="false" customWidth="true" hidden="false" outlineLevel="0" max="22" min="22" style="0" width="7.15"/>
    <col collapsed="false" customWidth="true" hidden="false" outlineLevel="0" max="23" min="23" style="0" width="18.61"/>
    <col collapsed="false" customWidth="true" hidden="false" outlineLevel="0" max="24" min="24" style="0" width="17.59"/>
    <col collapsed="false" customWidth="true" hidden="false" outlineLevel="0" max="25" min="25" style="0" width="18.6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R1" s="0" t="s">
        <v>0</v>
      </c>
      <c r="S1" s="0" t="s">
        <v>1</v>
      </c>
      <c r="T1" s="0" t="s">
        <v>2</v>
      </c>
      <c r="U1" s="0" t="s">
        <v>3</v>
      </c>
      <c r="V1" s="0" t="s">
        <v>4</v>
      </c>
      <c r="W1" s="0" t="s">
        <v>5</v>
      </c>
      <c r="X1" s="0" t="s">
        <v>6</v>
      </c>
      <c r="Y1" s="0" t="s">
        <v>7</v>
      </c>
      <c r="Z1" s="0" t="s">
        <v>8</v>
      </c>
      <c r="AA1" s="0" t="s">
        <v>9</v>
      </c>
      <c r="AB1" s="0" t="s">
        <v>10</v>
      </c>
      <c r="AC1" s="0" t="s">
        <v>11</v>
      </c>
    </row>
    <row r="2" customFormat="false" ht="12.8" hidden="false" customHeight="false" outlineLevel="0" collapsed="false">
      <c r="A2" s="0" t="n">
        <v>0</v>
      </c>
      <c r="B2" s="0" t="s">
        <v>12</v>
      </c>
      <c r="C2" s="0" t="s">
        <v>13</v>
      </c>
      <c r="D2" s="0" t="n">
        <v>41</v>
      </c>
      <c r="E2" s="0" t="n">
        <v>2.33</v>
      </c>
      <c r="F2" s="1" t="n">
        <f aca="false">D2*E2/100</f>
        <v>0.9553</v>
      </c>
      <c r="H2" s="0" t="n">
        <v>4</v>
      </c>
      <c r="I2" s="0" t="s">
        <v>14</v>
      </c>
      <c r="J2" s="0" t="s">
        <v>15</v>
      </c>
      <c r="K2" s="0" t="n">
        <v>85</v>
      </c>
      <c r="L2" s="0" t="n">
        <v>0</v>
      </c>
      <c r="M2" s="1" t="n">
        <f aca="false">K2*L2/100</f>
        <v>0</v>
      </c>
      <c r="N2" s="1" t="n">
        <f aca="false">100 * (((K2)/(100)) - ((100-K2)/(L2*100-100)))</f>
        <v>100</v>
      </c>
      <c r="Q2" s="0" t="n">
        <v>246</v>
      </c>
      <c r="R2" s="0" t="s">
        <v>16</v>
      </c>
      <c r="S2" s="0" t="s">
        <v>17</v>
      </c>
      <c r="T2" s="0" t="n">
        <v>82</v>
      </c>
      <c r="U2" s="0" t="n">
        <v>1.4</v>
      </c>
      <c r="V2" s="1" t="n">
        <f aca="false">T2*U2/100</f>
        <v>1.148</v>
      </c>
      <c r="W2" s="1" t="n">
        <f aca="false">100 * (((T2)/(100)) - ((100-T2)/(U2*100-100)))</f>
        <v>37</v>
      </c>
      <c r="X2" s="1" t="n">
        <f aca="false">W2*U2</f>
        <v>51.8</v>
      </c>
      <c r="Y2" s="1" t="n">
        <f aca="false">X2*T2/100</f>
        <v>42.476</v>
      </c>
      <c r="Z2" s="0" t="n">
        <v>100</v>
      </c>
      <c r="AA2" s="0" t="n">
        <f aca="false">W2*U2+Z2</f>
        <v>151.8</v>
      </c>
      <c r="AB2" s="0" t="n">
        <f aca="false">Z2-W2</f>
        <v>63</v>
      </c>
      <c r="AC2" s="1" t="n">
        <f aca="false">(AA2*T2/100) + (AB2*(100-T2)/100)</f>
        <v>135.816</v>
      </c>
    </row>
    <row r="3" customFormat="false" ht="12.8" hidden="false" customHeight="false" outlineLevel="0" collapsed="false">
      <c r="A3" s="0" t="n">
        <v>1</v>
      </c>
      <c r="B3" s="0" t="s">
        <v>12</v>
      </c>
      <c r="C3" s="0" t="s">
        <v>18</v>
      </c>
      <c r="D3" s="0" t="n">
        <v>34</v>
      </c>
      <c r="E3" s="0" t="n">
        <v>3.2</v>
      </c>
      <c r="F3" s="1" t="n">
        <f aca="false">D3*E3/100</f>
        <v>1.088</v>
      </c>
      <c r="H3" s="0" t="n">
        <v>11</v>
      </c>
      <c r="I3" s="0" t="s">
        <v>14</v>
      </c>
      <c r="J3" s="0" t="s">
        <v>19</v>
      </c>
      <c r="K3" s="0" t="n">
        <v>94</v>
      </c>
      <c r="L3" s="0" t="n">
        <v>0</v>
      </c>
      <c r="M3" s="1" t="n">
        <f aca="false">K3*L3/100</f>
        <v>0</v>
      </c>
      <c r="N3" s="1" t="n">
        <f aca="false">100 * (((K3)/(100)) - ((100-K3)/(L3*100-100)))</f>
        <v>100</v>
      </c>
      <c r="Q3" s="0" t="n">
        <v>9</v>
      </c>
      <c r="R3" s="0" t="s">
        <v>14</v>
      </c>
      <c r="S3" s="0" t="s">
        <v>20</v>
      </c>
      <c r="T3" s="0" t="n">
        <v>82</v>
      </c>
      <c r="U3" s="0" t="n">
        <v>1.38</v>
      </c>
      <c r="V3" s="1" t="n">
        <f aca="false">T3*U3/100</f>
        <v>1.1316</v>
      </c>
      <c r="W3" s="1" t="n">
        <f aca="false">100 * (((T3)/(100)) - ((100-T3)/(U3*100-100)))</f>
        <v>34.6315789473684</v>
      </c>
      <c r="X3" s="1" t="n">
        <f aca="false">W3*U3</f>
        <v>47.7915789473684</v>
      </c>
      <c r="Y3" s="1" t="n">
        <f aca="false">X3*T3/100</f>
        <v>39.1890947368421</v>
      </c>
      <c r="Z3" s="1" t="n">
        <v>100</v>
      </c>
      <c r="AA3" s="1" t="n">
        <f aca="false">W3*U3+Z3</f>
        <v>147.791578947368</v>
      </c>
      <c r="AB3" s="1" t="n">
        <f aca="false">Z3-W3</f>
        <v>65.3684210526316</v>
      </c>
      <c r="AC3" s="1" t="n">
        <f aca="false">(AA3*T3/100) + (AB3*(100-T3)/100)</f>
        <v>132.955410526316</v>
      </c>
      <c r="AD3" s="1"/>
      <c r="AE3" s="1"/>
      <c r="AF3" s="1"/>
    </row>
    <row r="4" customFormat="false" ht="12.8" hidden="false" customHeight="false" outlineLevel="0" collapsed="false">
      <c r="A4" s="0" t="n">
        <v>2</v>
      </c>
      <c r="B4" s="0" t="s">
        <v>12</v>
      </c>
      <c r="C4" s="0" t="s">
        <v>21</v>
      </c>
      <c r="D4" s="0" t="n">
        <v>25</v>
      </c>
      <c r="E4" s="0" t="n">
        <v>2.94</v>
      </c>
      <c r="F4" s="1" t="n">
        <f aca="false">D4*E4/100</f>
        <v>0.735</v>
      </c>
      <c r="H4" s="0" t="n">
        <v>13</v>
      </c>
      <c r="I4" s="0" t="s">
        <v>14</v>
      </c>
      <c r="J4" s="0" t="s">
        <v>22</v>
      </c>
      <c r="K4" s="0" t="n">
        <v>98</v>
      </c>
      <c r="L4" s="0" t="n">
        <v>0</v>
      </c>
      <c r="M4" s="1" t="n">
        <f aca="false">K4*L4/100</f>
        <v>0</v>
      </c>
      <c r="N4" s="1" t="n">
        <f aca="false">100 * (((K4)/(100)) - ((100-K4)/(L4*100-100)))</f>
        <v>100</v>
      </c>
      <c r="Q4" s="0" t="n">
        <v>70</v>
      </c>
      <c r="R4" s="0" t="s">
        <v>23</v>
      </c>
      <c r="S4" s="0" t="s">
        <v>24</v>
      </c>
      <c r="T4" s="0" t="n">
        <v>78</v>
      </c>
      <c r="U4" s="0" t="n">
        <v>1.5</v>
      </c>
      <c r="V4" s="1" t="n">
        <f aca="false">T4*U4/100</f>
        <v>1.17</v>
      </c>
      <c r="W4" s="1" t="n">
        <f aca="false">100 * (((T4)/(100)) - ((100-T4)/(U4*100-100)))</f>
        <v>34</v>
      </c>
      <c r="X4" s="1" t="n">
        <f aca="false">W4*U4</f>
        <v>51</v>
      </c>
      <c r="Y4" s="1" t="n">
        <f aca="false">X4*T4/100</f>
        <v>39.78</v>
      </c>
      <c r="Z4" s="1" t="n">
        <v>100</v>
      </c>
      <c r="AA4" s="1" t="n">
        <f aca="false">W4*U4+Z4</f>
        <v>151</v>
      </c>
      <c r="AB4" s="1" t="n">
        <f aca="false">Z4-W4</f>
        <v>66</v>
      </c>
      <c r="AC4" s="1" t="n">
        <f aca="false">(AA4*T4/100) + (AB4*(100-T4)/100)</f>
        <v>132.3</v>
      </c>
    </row>
    <row r="5" customFormat="false" ht="12.8" hidden="false" customHeight="false" outlineLevel="0" collapsed="false">
      <c r="A5" s="0" t="n">
        <v>3</v>
      </c>
      <c r="B5" s="0" t="s">
        <v>14</v>
      </c>
      <c r="C5" s="0" t="s">
        <v>25</v>
      </c>
      <c r="D5" s="0" t="n">
        <v>15</v>
      </c>
      <c r="E5" s="0" t="n">
        <v>7.61</v>
      </c>
      <c r="F5" s="1" t="n">
        <f aca="false">D5*E5/100</f>
        <v>1.1415</v>
      </c>
      <c r="H5" s="0" t="n">
        <v>14</v>
      </c>
      <c r="I5" s="0" t="s">
        <v>14</v>
      </c>
      <c r="J5" s="0" t="s">
        <v>26</v>
      </c>
      <c r="K5" s="0" t="n">
        <v>2</v>
      </c>
      <c r="L5" s="0" t="n">
        <v>0</v>
      </c>
      <c r="M5" s="1" t="n">
        <f aca="false">K5*L5/100</f>
        <v>0</v>
      </c>
      <c r="N5" s="1" t="n">
        <f aca="false">100 * (((K5)/(100)) - ((100-K5)/(L5*100-100)))</f>
        <v>100</v>
      </c>
      <c r="Q5" s="0" t="n">
        <v>107</v>
      </c>
      <c r="R5" s="0" t="s">
        <v>27</v>
      </c>
      <c r="S5" s="0" t="s">
        <v>28</v>
      </c>
      <c r="T5" s="0" t="n">
        <v>79</v>
      </c>
      <c r="U5" s="0" t="n">
        <v>1.37</v>
      </c>
      <c r="V5" s="1" t="n">
        <f aca="false">T5*U5/100</f>
        <v>1.0823</v>
      </c>
      <c r="W5" s="1" t="n">
        <f aca="false">100 * (((T5)/(100)) - ((100-T5)/(U5*100-100)))</f>
        <v>22.2432432432432</v>
      </c>
      <c r="X5" s="1" t="n">
        <f aca="false">W5*U5</f>
        <v>30.4732432432433</v>
      </c>
      <c r="Y5" s="1" t="n">
        <f aca="false">X5*T5/100</f>
        <v>24.0738621621622</v>
      </c>
      <c r="Z5" s="1" t="n">
        <v>100</v>
      </c>
      <c r="AA5" s="1" t="n">
        <f aca="false">W5*U5+Z5</f>
        <v>130.473243243243</v>
      </c>
      <c r="AB5" s="1" t="n">
        <f aca="false">Z5-W5</f>
        <v>77.7567567567567</v>
      </c>
      <c r="AC5" s="1" t="n">
        <f aca="false">(AA5*T5/100) + (AB5*(100-T5)/100)</f>
        <v>119.402781081081</v>
      </c>
    </row>
    <row r="6" customFormat="false" ht="12.8" hidden="false" customHeight="false" outlineLevel="0" collapsed="false">
      <c r="A6" s="0" t="n">
        <v>4</v>
      </c>
      <c r="B6" s="0" t="s">
        <v>14</v>
      </c>
      <c r="C6" s="0" t="s">
        <v>15</v>
      </c>
      <c r="D6" s="0" t="n">
        <v>85</v>
      </c>
      <c r="E6" s="0" t="n">
        <v>0</v>
      </c>
      <c r="F6" s="1" t="n">
        <f aca="false">D6*E6/100</f>
        <v>0</v>
      </c>
      <c r="H6" s="0" t="n">
        <v>30</v>
      </c>
      <c r="I6" s="0" t="s">
        <v>29</v>
      </c>
      <c r="J6" s="0" t="s">
        <v>30</v>
      </c>
      <c r="K6" s="0" t="n">
        <v>92</v>
      </c>
      <c r="L6" s="0" t="n">
        <v>0</v>
      </c>
      <c r="M6" s="1" t="n">
        <f aca="false">K6*L6/100</f>
        <v>0</v>
      </c>
      <c r="N6" s="1" t="n">
        <f aca="false">100 * (((K6)/(100)) - ((100-K6)/(L6*100-100)))</f>
        <v>100</v>
      </c>
      <c r="Q6" s="0" t="n">
        <v>28</v>
      </c>
      <c r="R6" s="0" t="s">
        <v>29</v>
      </c>
      <c r="S6" s="0" t="s">
        <v>31</v>
      </c>
      <c r="T6" s="0" t="n">
        <v>75</v>
      </c>
      <c r="U6" s="0" t="n">
        <v>1.46</v>
      </c>
      <c r="V6" s="1" t="n">
        <f aca="false">T6*U6/100</f>
        <v>1.095</v>
      </c>
      <c r="W6" s="1" t="n">
        <f aca="false">100 * (((T6)/(100)) - ((100-T6)/(U6*100-100)))</f>
        <v>20.6521739130435</v>
      </c>
      <c r="X6" s="1" t="n">
        <f aca="false">W6*U6</f>
        <v>30.1521739130435</v>
      </c>
      <c r="Y6" s="1" t="n">
        <f aca="false">X6*T6/100</f>
        <v>22.6141304347826</v>
      </c>
      <c r="Z6" s="1" t="n">
        <v>100</v>
      </c>
      <c r="AA6" s="1" t="n">
        <f aca="false">W6*U6+Z6</f>
        <v>130.152173913043</v>
      </c>
      <c r="AB6" s="1" t="n">
        <f aca="false">Z6-W6</f>
        <v>79.3478260869565</v>
      </c>
      <c r="AC6" s="1" t="n">
        <f aca="false">(AA6*T6/100) + (AB6*(100-T6)/100)</f>
        <v>117.451086956522</v>
      </c>
    </row>
    <row r="7" customFormat="false" ht="12.8" hidden="false" customHeight="false" outlineLevel="0" collapsed="false">
      <c r="A7" s="0" t="n">
        <v>5</v>
      </c>
      <c r="B7" s="0" t="s">
        <v>14</v>
      </c>
      <c r="C7" s="0" t="s">
        <v>31</v>
      </c>
      <c r="D7" s="0" t="n">
        <v>32</v>
      </c>
      <c r="E7" s="0" t="n">
        <v>3.05</v>
      </c>
      <c r="F7" s="1" t="n">
        <f aca="false">D7*E7/100</f>
        <v>0.976</v>
      </c>
      <c r="H7" s="0" t="n">
        <v>66</v>
      </c>
      <c r="I7" s="0" t="s">
        <v>32</v>
      </c>
      <c r="J7" s="0" t="s">
        <v>33</v>
      </c>
      <c r="K7" s="0" t="n">
        <v>90</v>
      </c>
      <c r="L7" s="0" t="n">
        <v>0</v>
      </c>
      <c r="M7" s="1" t="n">
        <f aca="false">K7*L7/100</f>
        <v>0</v>
      </c>
      <c r="N7" s="1" t="n">
        <f aca="false">100 * (((K7)/(100)) - ((100-K7)/(L7*100-100)))</f>
        <v>100</v>
      </c>
      <c r="Q7" s="0" t="n">
        <v>7</v>
      </c>
      <c r="R7" s="0" t="s">
        <v>14</v>
      </c>
      <c r="S7" s="0" t="s">
        <v>30</v>
      </c>
      <c r="T7" s="0" t="n">
        <v>64</v>
      </c>
      <c r="U7" s="0" t="n">
        <v>1.79</v>
      </c>
      <c r="V7" s="1" t="n">
        <f aca="false">T7*U7/100</f>
        <v>1.1456</v>
      </c>
      <c r="W7" s="1" t="n">
        <f aca="false">100 * (((T7)/(100)) - ((100-T7)/(U7*100-100)))</f>
        <v>18.4303797468354</v>
      </c>
      <c r="X7" s="1" t="n">
        <f aca="false">W7*U7</f>
        <v>32.9903797468355</v>
      </c>
      <c r="Y7" s="1" t="n">
        <f aca="false">X7*T7/100</f>
        <v>21.1138430379747</v>
      </c>
      <c r="Z7" s="1" t="n">
        <v>100</v>
      </c>
      <c r="AA7" s="1" t="n">
        <f aca="false">W7*U7+Z7</f>
        <v>132.990379746835</v>
      </c>
      <c r="AB7" s="1" t="n">
        <f aca="false">Z7-W7</f>
        <v>81.5696202531646</v>
      </c>
      <c r="AC7" s="1" t="n">
        <f aca="false">(AA7*T7/100) + (AB7*(100-T7)/100)</f>
        <v>114.478906329114</v>
      </c>
    </row>
    <row r="8" customFormat="false" ht="12.8" hidden="false" customHeight="false" outlineLevel="0" collapsed="false">
      <c r="A8" s="0" t="n">
        <v>6</v>
      </c>
      <c r="B8" s="0" t="s">
        <v>14</v>
      </c>
      <c r="C8" s="0" t="s">
        <v>34</v>
      </c>
      <c r="D8" s="0" t="n">
        <v>68</v>
      </c>
      <c r="E8" s="0" t="n">
        <v>1.45</v>
      </c>
      <c r="F8" s="1" t="n">
        <f aca="false">D8*E8/100</f>
        <v>0.986</v>
      </c>
      <c r="H8" s="0" t="n">
        <v>72</v>
      </c>
      <c r="I8" s="0" t="s">
        <v>23</v>
      </c>
      <c r="J8" s="0" t="s">
        <v>33</v>
      </c>
      <c r="K8" s="0" t="n">
        <v>90</v>
      </c>
      <c r="L8" s="0" t="n">
        <v>0</v>
      </c>
      <c r="M8" s="1" t="n">
        <f aca="false">K8*L8/100</f>
        <v>0</v>
      </c>
      <c r="N8" s="1" t="n">
        <f aca="false">100 * (((K8)/(100)) - ((100-K8)/(L8*100-100)))</f>
        <v>100</v>
      </c>
      <c r="Q8" s="0" t="n">
        <v>91</v>
      </c>
      <c r="R8" s="0" t="s">
        <v>35</v>
      </c>
      <c r="S8" s="0" t="s">
        <v>36</v>
      </c>
      <c r="T8" s="0" t="n">
        <v>40</v>
      </c>
      <c r="U8" s="0" t="n">
        <v>3.32</v>
      </c>
      <c r="V8" s="1" t="n">
        <f aca="false">T8*U8/100</f>
        <v>1.328</v>
      </c>
      <c r="W8" s="1" t="n">
        <f aca="false">100 * (((T8)/(100)) - ((100-T8)/(U8*100-100)))</f>
        <v>14.1379310344828</v>
      </c>
      <c r="X8" s="1" t="n">
        <f aca="false">W8*U8</f>
        <v>46.9379310344828</v>
      </c>
      <c r="Y8" s="1" t="n">
        <f aca="false">X8*T8/100</f>
        <v>18.7751724137931</v>
      </c>
      <c r="Z8" s="1" t="n">
        <v>100</v>
      </c>
      <c r="AA8" s="1" t="n">
        <f aca="false">W8*U8+Z8</f>
        <v>146.937931034483</v>
      </c>
      <c r="AB8" s="1" t="n">
        <f aca="false">Z8-W8</f>
        <v>85.8620689655172</v>
      </c>
      <c r="AC8" s="1" t="n">
        <f aca="false">(AA8*T8/100) + (AB8*(100-T8)/100)</f>
        <v>110.292413793103</v>
      </c>
    </row>
    <row r="9" customFormat="false" ht="12.8" hidden="false" customHeight="false" outlineLevel="0" collapsed="false">
      <c r="A9" s="0" t="n">
        <v>7</v>
      </c>
      <c r="B9" s="0" t="s">
        <v>14</v>
      </c>
      <c r="C9" s="0" t="s">
        <v>30</v>
      </c>
      <c r="D9" s="0" t="n">
        <v>64</v>
      </c>
      <c r="E9" s="0" t="n">
        <v>1.79</v>
      </c>
      <c r="F9" s="1" t="n">
        <f aca="false">D9*E9/100</f>
        <v>1.1456</v>
      </c>
      <c r="H9" s="0" t="n">
        <v>80</v>
      </c>
      <c r="I9" s="0" t="s">
        <v>37</v>
      </c>
      <c r="J9" s="0" t="s">
        <v>38</v>
      </c>
      <c r="K9" s="0" t="n">
        <v>88</v>
      </c>
      <c r="L9" s="0" t="n">
        <v>0</v>
      </c>
      <c r="M9" s="1" t="n">
        <f aca="false">K9*L9/100</f>
        <v>0</v>
      </c>
      <c r="N9" s="1" t="n">
        <f aca="false">100 * (((K9)/(100)) - ((100-K9)/(L9*100-100)))</f>
        <v>100</v>
      </c>
      <c r="Q9" s="0" t="n">
        <v>100</v>
      </c>
      <c r="R9" s="0" t="s">
        <v>39</v>
      </c>
      <c r="S9" s="0" t="s">
        <v>17</v>
      </c>
      <c r="T9" s="0" t="n">
        <v>79</v>
      </c>
      <c r="U9" s="0" t="n">
        <v>1.31</v>
      </c>
      <c r="V9" s="1" t="n">
        <f aca="false">T9*U9/100</f>
        <v>1.0349</v>
      </c>
      <c r="W9" s="1" t="n">
        <f aca="false">100 * (((T9)/(100)) - ((100-T9)/(U9*100-100)))</f>
        <v>11.258064516129</v>
      </c>
      <c r="X9" s="1" t="n">
        <f aca="false">W9*U9</f>
        <v>14.748064516129</v>
      </c>
      <c r="Y9" s="1" t="n">
        <f aca="false">X9*T9/100</f>
        <v>11.6509709677419</v>
      </c>
      <c r="Z9" s="0" t="n">
        <v>100</v>
      </c>
      <c r="AA9" s="1" t="n">
        <f aca="false">W9*U9+Z9</f>
        <v>114.748064516129</v>
      </c>
      <c r="AB9" s="1" t="n">
        <f aca="false">Z9-W9</f>
        <v>88.741935483871</v>
      </c>
      <c r="AC9" s="1" t="n">
        <f aca="false">(AA9*T9/100) + (AB9*(100-T9)/100)</f>
        <v>109.286777419355</v>
      </c>
    </row>
    <row r="10" customFormat="false" ht="12.8" hidden="false" customHeight="false" outlineLevel="0" collapsed="false">
      <c r="A10" s="0" t="n">
        <v>8</v>
      </c>
      <c r="B10" s="0" t="s">
        <v>14</v>
      </c>
      <c r="C10" s="0" t="s">
        <v>40</v>
      </c>
      <c r="D10" s="0" t="n">
        <v>36</v>
      </c>
      <c r="E10" s="0" t="n">
        <v>2.09</v>
      </c>
      <c r="F10" s="1" t="n">
        <f aca="false">D10*E10/100</f>
        <v>0.7524</v>
      </c>
      <c r="H10" s="0" t="n">
        <v>81</v>
      </c>
      <c r="I10" s="0" t="s">
        <v>37</v>
      </c>
      <c r="J10" s="0" t="s">
        <v>41</v>
      </c>
      <c r="K10" s="0" t="n">
        <v>7</v>
      </c>
      <c r="L10" s="0" t="n">
        <v>0</v>
      </c>
      <c r="M10" s="1" t="n">
        <f aca="false">K10*L10/100</f>
        <v>0</v>
      </c>
      <c r="N10" s="1" t="n">
        <f aca="false">100 * (((K10)/(100)) - ((100-K10)/(L10*100-100)))</f>
        <v>100</v>
      </c>
      <c r="Q10" s="0" t="n">
        <v>121</v>
      </c>
      <c r="R10" s="0" t="s">
        <v>42</v>
      </c>
      <c r="S10" s="0" t="s">
        <v>43</v>
      </c>
      <c r="T10" s="0" t="n">
        <v>59</v>
      </c>
      <c r="U10" s="0" t="n">
        <v>1.89</v>
      </c>
      <c r="V10" s="1" t="n">
        <f aca="false">T10*U10/100</f>
        <v>1.1151</v>
      </c>
      <c r="W10" s="1" t="n">
        <f aca="false">100 * (((T10)/(100)) - ((100-T10)/(U10*100-100)))</f>
        <v>12.9325842696629</v>
      </c>
      <c r="X10" s="1" t="n">
        <f aca="false">W10*U10</f>
        <v>24.4425842696629</v>
      </c>
      <c r="Y10" s="1" t="n">
        <f aca="false">X10*T10/100</f>
        <v>14.4211247191011</v>
      </c>
      <c r="Z10" s="1" t="n">
        <v>100</v>
      </c>
      <c r="AA10" s="1" t="n">
        <f aca="false">W10*U10+Z10</f>
        <v>124.442584269663</v>
      </c>
      <c r="AB10" s="1" t="n">
        <f aca="false">Z10-W10</f>
        <v>87.0674157303371</v>
      </c>
      <c r="AC10" s="1" t="n">
        <f aca="false">(AA10*T10/100) + (AB10*(100-T10)/100)</f>
        <v>109.118765168539</v>
      </c>
    </row>
    <row r="11" customFormat="false" ht="12.8" hidden="false" customHeight="false" outlineLevel="0" collapsed="false">
      <c r="A11" s="0" t="n">
        <v>9</v>
      </c>
      <c r="B11" s="0" t="s">
        <v>14</v>
      </c>
      <c r="C11" s="0" t="s">
        <v>20</v>
      </c>
      <c r="D11" s="0" t="n">
        <v>82</v>
      </c>
      <c r="E11" s="0" t="n">
        <v>1.38</v>
      </c>
      <c r="F11" s="1" t="n">
        <f aca="false">D11*E11/100</f>
        <v>1.1316</v>
      </c>
      <c r="H11" s="0" t="n">
        <v>82</v>
      </c>
      <c r="I11" s="0" t="s">
        <v>37</v>
      </c>
      <c r="J11" s="0" t="s">
        <v>44</v>
      </c>
      <c r="K11" s="0" t="n">
        <v>5</v>
      </c>
      <c r="L11" s="0" t="n">
        <v>0</v>
      </c>
      <c r="M11" s="1" t="n">
        <f aca="false">K11*L11/100</f>
        <v>0</v>
      </c>
      <c r="N11" s="1" t="n">
        <f aca="false">100 * (((K11)/(100)) - ((100-K11)/(L11*100-100)))</f>
        <v>100</v>
      </c>
      <c r="Q11" s="0" t="n">
        <v>64</v>
      </c>
      <c r="R11" s="0" t="s">
        <v>32</v>
      </c>
      <c r="S11" s="0" t="s">
        <v>24</v>
      </c>
      <c r="T11" s="0" t="n">
        <v>65</v>
      </c>
      <c r="U11" s="0" t="n">
        <v>1.65</v>
      </c>
      <c r="V11" s="1" t="n">
        <f aca="false">T11*U11/100</f>
        <v>1.0725</v>
      </c>
      <c r="W11" s="1" t="n">
        <f aca="false">100 * (((T11)/(100)) - ((100-T11)/(U11*100-100)))</f>
        <v>11.1538461538462</v>
      </c>
      <c r="X11" s="1" t="n">
        <f aca="false">W11*U11</f>
        <v>18.4038461538462</v>
      </c>
      <c r="Y11" s="1" t="n">
        <f aca="false">X11*T11/100</f>
        <v>11.9625</v>
      </c>
      <c r="Z11" s="1" t="n">
        <v>100</v>
      </c>
      <c r="AA11" s="1" t="n">
        <f aca="false">W11*U11+Z11</f>
        <v>118.403846153846</v>
      </c>
      <c r="AB11" s="1" t="n">
        <f aca="false">Z11-W11</f>
        <v>88.8461538461538</v>
      </c>
      <c r="AC11" s="1" t="n">
        <f aca="false">(AA11*T11/100) + (AB11*(100-T11)/100)</f>
        <v>108.058653846154</v>
      </c>
    </row>
    <row r="12" customFormat="false" ht="12.8" hidden="false" customHeight="false" outlineLevel="0" collapsed="false">
      <c r="A12" s="0" t="n">
        <v>10</v>
      </c>
      <c r="B12" s="0" t="s">
        <v>14</v>
      </c>
      <c r="C12" s="0" t="s">
        <v>45</v>
      </c>
      <c r="D12" s="0" t="n">
        <v>18</v>
      </c>
      <c r="E12" s="0" t="n">
        <v>3.49</v>
      </c>
      <c r="F12" s="1" t="n">
        <f aca="false">D12*E12/100</f>
        <v>0.6282</v>
      </c>
      <c r="H12" s="0" t="n">
        <v>85</v>
      </c>
      <c r="I12" s="0" t="s">
        <v>37</v>
      </c>
      <c r="J12" s="0" t="s">
        <v>46</v>
      </c>
      <c r="K12" s="0" t="n">
        <v>81</v>
      </c>
      <c r="L12" s="0" t="n">
        <v>0</v>
      </c>
      <c r="M12" s="1" t="n">
        <f aca="false">K12*L12/100</f>
        <v>0</v>
      </c>
      <c r="N12" s="1" t="n">
        <f aca="false">100 * (((K12)/(100)) - ((100-K12)/(L12*100-100)))</f>
        <v>100</v>
      </c>
      <c r="Q12" s="0" t="n">
        <v>240</v>
      </c>
      <c r="R12" s="0" t="s">
        <v>47</v>
      </c>
      <c r="S12" s="0" t="s">
        <v>17</v>
      </c>
      <c r="T12" s="0" t="n">
        <v>60</v>
      </c>
      <c r="U12" s="0" t="n">
        <v>1.82</v>
      </c>
      <c r="V12" s="1" t="n">
        <f aca="false">T12*U12/100</f>
        <v>1.092</v>
      </c>
      <c r="W12" s="1" t="n">
        <f aca="false">100 * (((T12)/(100)) - ((100-T12)/(U12*100-100)))</f>
        <v>11.219512195122</v>
      </c>
      <c r="X12" s="1" t="n">
        <f aca="false">W12*U12</f>
        <v>20.419512195122</v>
      </c>
      <c r="Y12" s="1" t="n">
        <f aca="false">X12*T12/100</f>
        <v>12.2517073170732</v>
      </c>
      <c r="Z12" s="0" t="n">
        <v>100</v>
      </c>
      <c r="AA12" s="1" t="n">
        <f aca="false">W12*U12+Z12</f>
        <v>120.419512195122</v>
      </c>
      <c r="AB12" s="1" t="n">
        <f aca="false">Z12-W12</f>
        <v>88.7804878048781</v>
      </c>
      <c r="AC12" s="1" t="n">
        <f aca="false">(AA12*T12/100) + (AB12*(100-T12)/100)</f>
        <v>107.763902439024</v>
      </c>
    </row>
    <row r="13" customFormat="false" ht="12.8" hidden="false" customHeight="false" outlineLevel="0" collapsed="false">
      <c r="A13" s="0" t="n">
        <v>11</v>
      </c>
      <c r="B13" s="0" t="s">
        <v>14</v>
      </c>
      <c r="C13" s="0" t="s">
        <v>19</v>
      </c>
      <c r="D13" s="0" t="n">
        <v>94</v>
      </c>
      <c r="E13" s="0" t="n">
        <v>0</v>
      </c>
      <c r="F13" s="1" t="n">
        <f aca="false">D13*E13/100</f>
        <v>0</v>
      </c>
      <c r="H13" s="0" t="n">
        <v>102</v>
      </c>
      <c r="I13" s="0" t="s">
        <v>48</v>
      </c>
      <c r="J13" s="0" t="s">
        <v>17</v>
      </c>
      <c r="K13" s="0" t="n">
        <v>86</v>
      </c>
      <c r="L13" s="0" t="n">
        <v>0</v>
      </c>
      <c r="M13" s="1" t="n">
        <f aca="false">K13*L13/100</f>
        <v>0</v>
      </c>
      <c r="N13" s="1" t="n">
        <f aca="false">100 * (((K13)/(100)) - ((100-K13)/(L13*100-100)))</f>
        <v>100</v>
      </c>
      <c r="Q13" s="0" t="n">
        <v>59</v>
      </c>
      <c r="R13" s="0" t="s">
        <v>49</v>
      </c>
      <c r="S13" s="0" t="s">
        <v>28</v>
      </c>
      <c r="T13" s="0" t="n">
        <v>75</v>
      </c>
      <c r="U13" s="0" t="n">
        <v>1.38</v>
      </c>
      <c r="V13" s="1" t="n">
        <f aca="false">T13*U13/100</f>
        <v>1.035</v>
      </c>
      <c r="W13" s="1" t="n">
        <f aca="false">100 * (((T13)/(100)) - ((100-T13)/(U13*100-100)))</f>
        <v>9.21052631578947</v>
      </c>
      <c r="X13" s="1" t="n">
        <f aca="false">W13*U13</f>
        <v>12.7105263157895</v>
      </c>
      <c r="Y13" s="1" t="n">
        <f aca="false">X13*T13/100</f>
        <v>9.5328947368421</v>
      </c>
      <c r="Z13" s="1" t="n">
        <v>100</v>
      </c>
      <c r="AA13" s="1" t="n">
        <f aca="false">W13*U13+Z13</f>
        <v>112.710526315789</v>
      </c>
      <c r="AB13" s="1" t="n">
        <f aca="false">Z13-W13</f>
        <v>90.7894736842105</v>
      </c>
      <c r="AC13" s="1" t="n">
        <f aca="false">(AA13*T13/100) + (AB13*(100-T13)/100)</f>
        <v>107.230263157895</v>
      </c>
    </row>
    <row r="14" customFormat="false" ht="12.8" hidden="false" customHeight="false" outlineLevel="0" collapsed="false">
      <c r="A14" s="0" t="n">
        <v>12</v>
      </c>
      <c r="B14" s="0" t="s">
        <v>14</v>
      </c>
      <c r="C14" s="0" t="s">
        <v>50</v>
      </c>
      <c r="D14" s="0" t="n">
        <v>6</v>
      </c>
      <c r="E14" s="0" t="n">
        <v>6.52</v>
      </c>
      <c r="F14" s="1" t="n">
        <f aca="false">D14*E14/100</f>
        <v>0.3912</v>
      </c>
      <c r="H14" s="0" t="n">
        <v>104</v>
      </c>
      <c r="I14" s="0" t="s">
        <v>51</v>
      </c>
      <c r="J14" s="0" t="s">
        <v>17</v>
      </c>
      <c r="K14" s="0" t="n">
        <v>89</v>
      </c>
      <c r="L14" s="0" t="n">
        <v>0</v>
      </c>
      <c r="M14" s="1" t="n">
        <f aca="false">K14*L14/100</f>
        <v>0</v>
      </c>
      <c r="N14" s="1" t="n">
        <f aca="false">100 * (((K14)/(100)) - ((100-K14)/(L14*100-100)))</f>
        <v>100</v>
      </c>
      <c r="Q14" s="0" t="n">
        <v>77</v>
      </c>
      <c r="R14" s="0" t="s">
        <v>37</v>
      </c>
      <c r="S14" s="0" t="s">
        <v>52</v>
      </c>
      <c r="T14" s="0" t="n">
        <v>75</v>
      </c>
      <c r="U14" s="0" t="n">
        <v>1.38</v>
      </c>
      <c r="V14" s="1" t="n">
        <f aca="false">T14*U14/100</f>
        <v>1.035</v>
      </c>
      <c r="W14" s="1" t="n">
        <f aca="false">100 * (((T14)/(100)) - ((100-T14)/(U14*100-100)))</f>
        <v>9.21052631578947</v>
      </c>
      <c r="X14" s="1" t="n">
        <f aca="false">W14*U14</f>
        <v>12.7105263157895</v>
      </c>
      <c r="Y14" s="1" t="n">
        <f aca="false">X14*T14/100</f>
        <v>9.5328947368421</v>
      </c>
      <c r="Z14" s="1" t="n">
        <v>100</v>
      </c>
      <c r="AA14" s="1" t="n">
        <f aca="false">W14*U14+Z14</f>
        <v>112.710526315789</v>
      </c>
      <c r="AB14" s="1" t="n">
        <f aca="false">Z14-W14</f>
        <v>90.7894736842105</v>
      </c>
      <c r="AC14" s="1" t="n">
        <f aca="false">(AA14*T14/100) + (AB14*(100-T14)/100)</f>
        <v>107.230263157895</v>
      </c>
    </row>
    <row r="15" customFormat="false" ht="12.8" hidden="false" customHeight="false" outlineLevel="0" collapsed="false">
      <c r="A15" s="0" t="n">
        <v>13</v>
      </c>
      <c r="B15" s="0" t="s">
        <v>14</v>
      </c>
      <c r="C15" s="0" t="s">
        <v>22</v>
      </c>
      <c r="D15" s="0" t="n">
        <v>98</v>
      </c>
      <c r="E15" s="0" t="n">
        <v>0</v>
      </c>
      <c r="F15" s="1" t="n">
        <f aca="false">D15*E15/100</f>
        <v>0</v>
      </c>
      <c r="H15" s="0" t="n">
        <v>106</v>
      </c>
      <c r="I15" s="0" t="s">
        <v>53</v>
      </c>
      <c r="J15" s="0" t="s">
        <v>17</v>
      </c>
      <c r="K15" s="0" t="n">
        <v>92</v>
      </c>
      <c r="L15" s="0" t="n">
        <v>0</v>
      </c>
      <c r="M15" s="1" t="n">
        <f aca="false">K15*L15/100</f>
        <v>0</v>
      </c>
      <c r="N15" s="1" t="n">
        <f aca="false">100 * (((K15)/(100)) - ((100-K15)/(L15*100-100)))</f>
        <v>100</v>
      </c>
      <c r="Q15" s="0" t="n">
        <v>241</v>
      </c>
      <c r="R15" s="0" t="s">
        <v>54</v>
      </c>
      <c r="S15" s="0" t="s">
        <v>55</v>
      </c>
      <c r="T15" s="0" t="n">
        <v>51</v>
      </c>
      <c r="U15" s="0" t="n">
        <v>2.23</v>
      </c>
      <c r="V15" s="1" t="n">
        <f aca="false">T15*U15/100</f>
        <v>1.1373</v>
      </c>
      <c r="W15" s="1" t="n">
        <f aca="false">100 * (((T15)/(100)) - ((100-T15)/(U15*100-100)))</f>
        <v>11.1626016260163</v>
      </c>
      <c r="X15" s="1" t="n">
        <f aca="false">W15*U15</f>
        <v>24.8926016260163</v>
      </c>
      <c r="Y15" s="1" t="n">
        <f aca="false">X15*T15/100</f>
        <v>12.6952268292683</v>
      </c>
      <c r="Z15" s="1" t="n">
        <v>100</v>
      </c>
      <c r="AA15" s="1" t="n">
        <f aca="false">W15*U15+Z15</f>
        <v>124.892601626016</v>
      </c>
      <c r="AB15" s="1" t="n">
        <f aca="false">Z15-W15</f>
        <v>88.8373983739838</v>
      </c>
      <c r="AC15" s="1" t="n">
        <f aca="false">(AA15*T15/100) + (AB15*(100-T15)/100)</f>
        <v>107.22555203252</v>
      </c>
    </row>
    <row r="16" customFormat="false" ht="12.8" hidden="false" customHeight="false" outlineLevel="0" collapsed="false">
      <c r="A16" s="0" t="n">
        <v>14</v>
      </c>
      <c r="B16" s="0" t="s">
        <v>14</v>
      </c>
      <c r="C16" s="0" t="s">
        <v>26</v>
      </c>
      <c r="D16" s="0" t="n">
        <v>2</v>
      </c>
      <c r="E16" s="0" t="n">
        <v>0</v>
      </c>
      <c r="F16" s="1" t="n">
        <f aca="false">D16*E16/100</f>
        <v>0</v>
      </c>
      <c r="H16" s="0" t="n">
        <v>226</v>
      </c>
      <c r="I16" s="0" t="s">
        <v>56</v>
      </c>
      <c r="J16" s="0" t="s">
        <v>57</v>
      </c>
      <c r="K16" s="0" t="n">
        <v>82</v>
      </c>
      <c r="L16" s="0" t="n">
        <v>0</v>
      </c>
      <c r="M16" s="1" t="n">
        <f aca="false">K16*L16/100</f>
        <v>0</v>
      </c>
      <c r="N16" s="1" t="n">
        <f aca="false">100 * (((K16)/(100)) - ((100-K16)/(L16*100-100)))</f>
        <v>100</v>
      </c>
      <c r="Q16" s="0" t="n">
        <v>42</v>
      </c>
      <c r="R16" s="0" t="s">
        <v>58</v>
      </c>
      <c r="S16" s="0" t="s">
        <v>59</v>
      </c>
      <c r="T16" s="0" t="n">
        <v>32</v>
      </c>
      <c r="U16" s="0" t="n">
        <v>3.89</v>
      </c>
      <c r="V16" s="1" t="n">
        <f aca="false">T16*U16/100</f>
        <v>1.2448</v>
      </c>
      <c r="W16" s="1" t="n">
        <f aca="false">100 * (((T16)/(100)) - ((100-T16)/(U16*100-100)))</f>
        <v>8.47058823529412</v>
      </c>
      <c r="X16" s="1" t="n">
        <f aca="false">W16*U16</f>
        <v>32.9505882352941</v>
      </c>
      <c r="Y16" s="1" t="n">
        <f aca="false">X16*T16/100</f>
        <v>10.5441882352941</v>
      </c>
      <c r="Z16" s="1" t="n">
        <v>100</v>
      </c>
      <c r="AA16" s="1" t="n">
        <f aca="false">W16*U16+Z16</f>
        <v>132.950588235294</v>
      </c>
      <c r="AB16" s="1" t="n">
        <f aca="false">Z16-W16</f>
        <v>91.5294117647059</v>
      </c>
      <c r="AC16" s="1" t="n">
        <f aca="false">(AA16*T16/100) + (AB16*(100-T16)/100)</f>
        <v>104.784188235294</v>
      </c>
    </row>
    <row r="17" customFormat="false" ht="12.8" hidden="false" customHeight="false" outlineLevel="0" collapsed="false">
      <c r="A17" s="0" t="n">
        <v>15</v>
      </c>
      <c r="B17" s="0" t="s">
        <v>60</v>
      </c>
      <c r="C17" s="0" t="s">
        <v>61</v>
      </c>
      <c r="D17" s="0" t="n">
        <v>25</v>
      </c>
      <c r="E17" s="0" t="n">
        <v>3.58</v>
      </c>
      <c r="F17" s="1" t="n">
        <f aca="false">D17*E17/100</f>
        <v>0.895</v>
      </c>
      <c r="H17" s="0" t="n">
        <v>244</v>
      </c>
      <c r="I17" s="0" t="s">
        <v>62</v>
      </c>
      <c r="J17" s="0" t="s">
        <v>17</v>
      </c>
      <c r="K17" s="0" t="n">
        <v>89</v>
      </c>
      <c r="L17" s="0" t="n">
        <v>0</v>
      </c>
      <c r="M17" s="1" t="n">
        <f aca="false">K17*L17/100</f>
        <v>0</v>
      </c>
      <c r="N17" s="1" t="n">
        <f aca="false">100 * (((K17)/(100)) - ((100-K17)/(L17*100-100)))</f>
        <v>100</v>
      </c>
      <c r="Q17" s="0" t="n">
        <v>48</v>
      </c>
      <c r="R17" s="0" t="s">
        <v>63</v>
      </c>
      <c r="S17" s="0" t="s">
        <v>64</v>
      </c>
      <c r="T17" s="0" t="n">
        <v>32</v>
      </c>
      <c r="U17" s="0" t="n">
        <v>3.88</v>
      </c>
      <c r="V17" s="1" t="n">
        <f aca="false">T17*U17/100</f>
        <v>1.2416</v>
      </c>
      <c r="W17" s="1" t="n">
        <f aca="false">100 * (((T17)/(100)) - ((100-T17)/(U17*100-100)))</f>
        <v>8.38888888888889</v>
      </c>
      <c r="X17" s="1" t="n">
        <f aca="false">W17*U17</f>
        <v>32.5488888888889</v>
      </c>
      <c r="Y17" s="1" t="n">
        <f aca="false">X17*T17/100</f>
        <v>10.4156444444444</v>
      </c>
      <c r="Z17" s="1" t="n">
        <v>100</v>
      </c>
      <c r="AA17" s="1" t="n">
        <f aca="false">W17*U17+Z17</f>
        <v>132.548888888889</v>
      </c>
      <c r="AB17" s="1" t="n">
        <f aca="false">Z17-W17</f>
        <v>91.6111111111111</v>
      </c>
      <c r="AC17" s="1" t="n">
        <f aca="false">(AA17*T17/100) + (AB17*(100-T17)/100)</f>
        <v>104.7112</v>
      </c>
    </row>
    <row r="18" customFormat="false" ht="12.8" hidden="false" customHeight="false" outlineLevel="0" collapsed="false">
      <c r="A18" s="0" t="n">
        <v>16</v>
      </c>
      <c r="B18" s="0" t="s">
        <v>60</v>
      </c>
      <c r="C18" s="0" t="s">
        <v>65</v>
      </c>
      <c r="D18" s="0" t="n">
        <v>4</v>
      </c>
      <c r="E18" s="0" t="n">
        <v>13.75</v>
      </c>
      <c r="F18" s="1" t="n">
        <f aca="false">D18*E18/100</f>
        <v>0.55</v>
      </c>
      <c r="H18" s="0" t="n">
        <v>246</v>
      </c>
      <c r="I18" s="0" t="s">
        <v>16</v>
      </c>
      <c r="J18" s="0" t="s">
        <v>17</v>
      </c>
      <c r="K18" s="0" t="n">
        <v>82</v>
      </c>
      <c r="L18" s="0" t="n">
        <v>1.4</v>
      </c>
      <c r="M18" s="1" t="n">
        <f aca="false">K18*L18/100</f>
        <v>1.148</v>
      </c>
      <c r="N18" s="1" t="n">
        <f aca="false">100 * (((K18)/(100)) - ((100-K18)/(L18*100-100)))</f>
        <v>37</v>
      </c>
      <c r="Q18" s="0" t="n">
        <v>229</v>
      </c>
      <c r="R18" s="0" t="s">
        <v>66</v>
      </c>
      <c r="S18" s="0" t="s">
        <v>67</v>
      </c>
      <c r="T18" s="0" t="n">
        <v>63</v>
      </c>
      <c r="U18" s="0" t="n">
        <v>1.65</v>
      </c>
      <c r="V18" s="1" t="n">
        <f aca="false">T18*U18/100</f>
        <v>1.0395</v>
      </c>
      <c r="W18" s="1" t="n">
        <f aca="false">100 * (((T18)/(100)) - ((100-T18)/(U18*100-100)))</f>
        <v>6.07692307692308</v>
      </c>
      <c r="X18" s="1" t="n">
        <f aca="false">W18*U18</f>
        <v>10.0269230769231</v>
      </c>
      <c r="Y18" s="1" t="n">
        <f aca="false">X18*T18/100</f>
        <v>6.31696153846154</v>
      </c>
      <c r="Z18" s="0" t="n">
        <v>100</v>
      </c>
      <c r="AA18" s="1" t="n">
        <f aca="false">W18*U18+Z18</f>
        <v>110.026923076923</v>
      </c>
      <c r="AB18" s="1" t="n">
        <f aca="false">Z18-W18</f>
        <v>93.9230769230769</v>
      </c>
      <c r="AC18" s="1" t="n">
        <f aca="false">(AA18*T18/100) + (AB18*(100-T18)/100)</f>
        <v>104.0685</v>
      </c>
    </row>
    <row r="19" customFormat="false" ht="12.8" hidden="false" customHeight="false" outlineLevel="0" collapsed="false">
      <c r="A19" s="0" t="n">
        <v>17</v>
      </c>
      <c r="B19" s="0" t="s">
        <v>60</v>
      </c>
      <c r="C19" s="0" t="s">
        <v>68</v>
      </c>
      <c r="D19" s="0" t="n">
        <v>3</v>
      </c>
      <c r="E19" s="0" t="n">
        <v>34.75</v>
      </c>
      <c r="F19" s="1" t="n">
        <f aca="false">D19*E19/100</f>
        <v>1.0425</v>
      </c>
      <c r="H19" s="0" t="n">
        <v>9</v>
      </c>
      <c r="I19" s="0" t="s">
        <v>14</v>
      </c>
      <c r="J19" s="0" t="s">
        <v>20</v>
      </c>
      <c r="K19" s="0" t="n">
        <v>82</v>
      </c>
      <c r="L19" s="0" t="n">
        <v>1.38</v>
      </c>
      <c r="M19" s="1" t="n">
        <f aca="false">K19*L19/100</f>
        <v>1.1316</v>
      </c>
      <c r="N19" s="1" t="n">
        <f aca="false">100 * (((K19)/(100)) - ((100-K19)/(L19*100-100)))</f>
        <v>34.6315789473684</v>
      </c>
      <c r="Q19" s="0" t="n">
        <v>36</v>
      </c>
      <c r="R19" s="0" t="s">
        <v>69</v>
      </c>
      <c r="S19" s="0" t="s">
        <v>70</v>
      </c>
      <c r="T19" s="0" t="n">
        <v>15</v>
      </c>
      <c r="U19" s="0" t="n">
        <v>9.43</v>
      </c>
      <c r="V19" s="1" t="n">
        <f aca="false">T19*U19/100</f>
        <v>1.4145</v>
      </c>
      <c r="W19" s="1" t="n">
        <f aca="false">100 * (((T19)/(100)) - ((100-T19)/(U19*100-100)))</f>
        <v>4.91696322657177</v>
      </c>
      <c r="X19" s="1" t="n">
        <f aca="false">W19*U19</f>
        <v>46.3669632265718</v>
      </c>
      <c r="Y19" s="1" t="n">
        <f aca="false">X19*T19/100</f>
        <v>6.95504448398577</v>
      </c>
      <c r="Z19" s="1" t="n">
        <v>100</v>
      </c>
      <c r="AA19" s="1" t="n">
        <f aca="false">W19*U19+Z19</f>
        <v>146.366963226572</v>
      </c>
      <c r="AB19" s="1" t="n">
        <f aca="false">Z19-W19</f>
        <v>95.0830367734282</v>
      </c>
      <c r="AC19" s="1" t="n">
        <f aca="false">(AA19*T19/100) + (AB19*(100-T19)/100)</f>
        <v>102.7756257414</v>
      </c>
    </row>
    <row r="20" customFormat="false" ht="12.8" hidden="false" customHeight="false" outlineLevel="0" collapsed="false">
      <c r="A20" s="0" t="n">
        <v>18</v>
      </c>
      <c r="B20" s="0" t="s">
        <v>60</v>
      </c>
      <c r="C20" s="0" t="s">
        <v>71</v>
      </c>
      <c r="D20" s="0" t="n">
        <v>12</v>
      </c>
      <c r="E20" s="0" t="n">
        <v>5.13</v>
      </c>
      <c r="F20" s="1" t="n">
        <f aca="false">D20*E20/100</f>
        <v>0.6156</v>
      </c>
      <c r="H20" s="0" t="n">
        <v>70</v>
      </c>
      <c r="I20" s="0" t="s">
        <v>23</v>
      </c>
      <c r="J20" s="0" t="s">
        <v>24</v>
      </c>
      <c r="K20" s="0" t="n">
        <v>78</v>
      </c>
      <c r="L20" s="0" t="n">
        <v>1.5</v>
      </c>
      <c r="M20" s="1" t="n">
        <f aca="false">K20*L20/100</f>
        <v>1.17</v>
      </c>
      <c r="N20" s="1" t="n">
        <f aca="false">100 * (((K20)/(100)) - ((100-K20)/(L20*100-100)))</f>
        <v>34</v>
      </c>
      <c r="Q20" s="0" t="n">
        <v>94</v>
      </c>
      <c r="R20" s="0" t="s">
        <v>72</v>
      </c>
      <c r="S20" s="0" t="s">
        <v>36</v>
      </c>
      <c r="T20" s="0" t="n">
        <v>44</v>
      </c>
      <c r="U20" s="0" t="n">
        <v>2.44</v>
      </c>
      <c r="V20" s="1" t="n">
        <f aca="false">T20*U20/100</f>
        <v>1.0736</v>
      </c>
      <c r="W20" s="1" t="n">
        <f aca="false">100 * (((T20)/(100)) - ((100-T20)/(U20*100-100)))</f>
        <v>5.11111111111111</v>
      </c>
      <c r="X20" s="1" t="n">
        <f aca="false">W20*U20</f>
        <v>12.4711111111111</v>
      </c>
      <c r="Y20" s="1" t="n">
        <f aca="false">X20*T20/100</f>
        <v>5.48728888888889</v>
      </c>
      <c r="Z20" s="1" t="n">
        <v>100</v>
      </c>
      <c r="AA20" s="1" t="n">
        <f aca="false">W20*U20+Z20</f>
        <v>112.471111111111</v>
      </c>
      <c r="AB20" s="1" t="n">
        <f aca="false">Z20-W20</f>
        <v>94.8888888888889</v>
      </c>
      <c r="AC20" s="1" t="n">
        <f aca="false">(AA20*T20/100) + (AB20*(100-T20)/100)</f>
        <v>102.625066666667</v>
      </c>
    </row>
    <row r="21" customFormat="false" ht="12.8" hidden="false" customHeight="false" outlineLevel="0" collapsed="false">
      <c r="A21" s="0" t="n">
        <v>19</v>
      </c>
      <c r="B21" s="0" t="s">
        <v>60</v>
      </c>
      <c r="C21" s="0" t="s">
        <v>73</v>
      </c>
      <c r="D21" s="0" t="n">
        <v>25</v>
      </c>
      <c r="E21" s="0" t="n">
        <v>4.51</v>
      </c>
      <c r="F21" s="1" t="n">
        <f aca="false">D21*E21/100</f>
        <v>1.1275</v>
      </c>
      <c r="H21" s="0" t="n">
        <v>107</v>
      </c>
      <c r="I21" s="0" t="s">
        <v>27</v>
      </c>
      <c r="J21" s="0" t="s">
        <v>28</v>
      </c>
      <c r="K21" s="0" t="n">
        <v>79</v>
      </c>
      <c r="L21" s="0" t="n">
        <v>1.37</v>
      </c>
      <c r="M21" s="1" t="n">
        <f aca="false">K21*L21/100</f>
        <v>1.0823</v>
      </c>
      <c r="N21" s="1" t="n">
        <f aca="false">100 * (((K21)/(100)) - ((100-K21)/(L21*100-100)))</f>
        <v>22.2432432432432</v>
      </c>
      <c r="Q21" s="0" t="n">
        <v>1</v>
      </c>
      <c r="R21" s="0" t="s">
        <v>12</v>
      </c>
      <c r="S21" s="0" t="s">
        <v>18</v>
      </c>
      <c r="T21" s="0" t="n">
        <v>34</v>
      </c>
      <c r="U21" s="0" t="n">
        <v>3.2</v>
      </c>
      <c r="V21" s="1" t="n">
        <f aca="false">T21*U21/100</f>
        <v>1.088</v>
      </c>
      <c r="W21" s="1" t="n">
        <f aca="false">100 * (((T21)/(100)) - ((100-T21)/(U21*100-100)))</f>
        <v>4</v>
      </c>
      <c r="X21" s="1" t="n">
        <f aca="false">W21*U21</f>
        <v>12.8</v>
      </c>
      <c r="Y21" s="1" t="n">
        <f aca="false">X21*T21/100</f>
        <v>4.352</v>
      </c>
      <c r="Z21" s="1" t="n">
        <v>100</v>
      </c>
      <c r="AA21" s="1" t="n">
        <f aca="false">W21*U21+Z21</f>
        <v>112.8</v>
      </c>
      <c r="AB21" s="1" t="n">
        <f aca="false">Z21-W21</f>
        <v>96</v>
      </c>
      <c r="AC21" s="1" t="n">
        <f aca="false">(AA21*T21/100) + (AB21*(100-T21)/100)</f>
        <v>101.712</v>
      </c>
    </row>
    <row r="22" customFormat="false" ht="12.8" hidden="false" customHeight="false" outlineLevel="0" collapsed="false">
      <c r="A22" s="0" t="n">
        <v>20</v>
      </c>
      <c r="B22" s="0" t="s">
        <v>60</v>
      </c>
      <c r="C22" s="0" t="s">
        <v>74</v>
      </c>
      <c r="D22" s="0" t="n">
        <v>10</v>
      </c>
      <c r="E22" s="0" t="n">
        <v>6.26</v>
      </c>
      <c r="F22" s="1" t="n">
        <f aca="false">D22*E22/100</f>
        <v>0.626</v>
      </c>
      <c r="H22" s="0" t="n">
        <v>28</v>
      </c>
      <c r="I22" s="0" t="s">
        <v>29</v>
      </c>
      <c r="J22" s="0" t="s">
        <v>31</v>
      </c>
      <c r="K22" s="0" t="n">
        <v>75</v>
      </c>
      <c r="L22" s="0" t="n">
        <v>1.46</v>
      </c>
      <c r="M22" s="1" t="n">
        <f aca="false">K22*L22/100</f>
        <v>1.095</v>
      </c>
      <c r="N22" s="1" t="n">
        <f aca="false">100 * (((K22)/(100)) - ((100-K22)/(L22*100-100)))</f>
        <v>20.6521739130435</v>
      </c>
      <c r="Q22" s="0" t="n">
        <v>54</v>
      </c>
      <c r="R22" s="0" t="s">
        <v>75</v>
      </c>
      <c r="S22" s="0" t="s">
        <v>76</v>
      </c>
      <c r="T22" s="0" t="n">
        <v>34</v>
      </c>
      <c r="U22" s="0" t="n">
        <v>3.18</v>
      </c>
      <c r="V22" s="1" t="n">
        <f aca="false">T22*U22/100</f>
        <v>1.0812</v>
      </c>
      <c r="W22" s="1" t="n">
        <f aca="false">100 * (((T22)/(100)) - ((100-T22)/(U22*100-100)))</f>
        <v>3.72477064220184</v>
      </c>
      <c r="X22" s="1" t="n">
        <f aca="false">W22*U22</f>
        <v>11.8447706422018</v>
      </c>
      <c r="Y22" s="1" t="n">
        <f aca="false">X22*T22/100</f>
        <v>4.02722201834863</v>
      </c>
      <c r="Z22" s="1" t="n">
        <v>100</v>
      </c>
      <c r="AA22" s="1" t="n">
        <f aca="false">W22*U22+Z22</f>
        <v>111.844770642202</v>
      </c>
      <c r="AB22" s="1" t="n">
        <f aca="false">Z22-W22</f>
        <v>96.2752293577982</v>
      </c>
      <c r="AC22" s="1" t="n">
        <f aca="false">(AA22*T22/100) + (AB22*(100-T22)/100)</f>
        <v>101.568873394495</v>
      </c>
    </row>
    <row r="23" customFormat="false" ht="12.8" hidden="false" customHeight="false" outlineLevel="0" collapsed="false">
      <c r="A23" s="0" t="n">
        <v>21</v>
      </c>
      <c r="B23" s="0" t="s">
        <v>60</v>
      </c>
      <c r="C23" s="0" t="s">
        <v>77</v>
      </c>
      <c r="D23" s="0" t="n">
        <v>4</v>
      </c>
      <c r="E23" s="0" t="n">
        <v>28.75</v>
      </c>
      <c r="F23" s="1" t="n">
        <f aca="false">D23*E23/100</f>
        <v>1.15</v>
      </c>
      <c r="H23" s="0" t="n">
        <v>7</v>
      </c>
      <c r="I23" s="0" t="s">
        <v>14</v>
      </c>
      <c r="J23" s="0" t="s">
        <v>30</v>
      </c>
      <c r="K23" s="0" t="n">
        <v>64</v>
      </c>
      <c r="L23" s="0" t="n">
        <v>1.79</v>
      </c>
      <c r="M23" s="1" t="n">
        <f aca="false">K23*L23/100</f>
        <v>1.1456</v>
      </c>
      <c r="N23" s="1" t="n">
        <f aca="false">100 * (((K23)/(100)) - ((100-K23)/(L23*100-100)))</f>
        <v>18.4303797468354</v>
      </c>
      <c r="Q23" s="0" t="n">
        <v>191</v>
      </c>
      <c r="R23" s="0" t="s">
        <v>78</v>
      </c>
      <c r="S23" s="0" t="s">
        <v>79</v>
      </c>
      <c r="T23" s="0" t="n">
        <v>8</v>
      </c>
      <c r="U23" s="0" t="n">
        <v>18.25</v>
      </c>
      <c r="V23" s="1" t="n">
        <f aca="false">T23*U23/100</f>
        <v>1.46</v>
      </c>
      <c r="W23" s="1" t="n">
        <f aca="false">100 * (((T23)/(100)) - ((100-T23)/(U23*100-100)))</f>
        <v>2.66666666666667</v>
      </c>
      <c r="X23" s="1" t="n">
        <f aca="false">W23*U23</f>
        <v>48.6666666666667</v>
      </c>
      <c r="Y23" s="1" t="n">
        <f aca="false">X23*T23/100</f>
        <v>3.89333333333333</v>
      </c>
      <c r="Z23" s="1" t="n">
        <v>100</v>
      </c>
      <c r="AA23" s="1" t="n">
        <f aca="false">W23*U23+Z23</f>
        <v>148.666666666667</v>
      </c>
      <c r="AB23" s="1" t="n">
        <f aca="false">Z23-W23</f>
        <v>97.3333333333333</v>
      </c>
      <c r="AC23" s="1" t="n">
        <f aca="false">(AA23*T23/100) + (AB23*(100-T23)/100)</f>
        <v>101.44</v>
      </c>
    </row>
    <row r="24" customFormat="false" ht="12.8" hidden="false" customHeight="false" outlineLevel="0" collapsed="false">
      <c r="A24" s="0" t="n">
        <v>22</v>
      </c>
      <c r="B24" s="0" t="s">
        <v>60</v>
      </c>
      <c r="C24" s="0" t="s">
        <v>80</v>
      </c>
      <c r="D24" s="0" t="n">
        <v>5</v>
      </c>
      <c r="E24" s="0" t="n">
        <v>13.95</v>
      </c>
      <c r="F24" s="1" t="n">
        <f aca="false">D24*E24/100</f>
        <v>0.6975</v>
      </c>
      <c r="H24" s="0" t="n">
        <v>91</v>
      </c>
      <c r="I24" s="0" t="s">
        <v>35</v>
      </c>
      <c r="J24" s="0" t="s">
        <v>36</v>
      </c>
      <c r="K24" s="0" t="n">
        <v>40</v>
      </c>
      <c r="L24" s="0" t="n">
        <v>3.32</v>
      </c>
      <c r="M24" s="1" t="n">
        <f aca="false">K24*L24/100</f>
        <v>1.328</v>
      </c>
      <c r="N24" s="1" t="n">
        <f aca="false">100 * (((K24)/(100)) - ((100-K24)/(L24*100-100)))</f>
        <v>14.1379310344828</v>
      </c>
      <c r="Q24" s="0" t="n">
        <v>111</v>
      </c>
      <c r="R24" s="0" t="s">
        <v>81</v>
      </c>
      <c r="S24" s="0" t="s">
        <v>82</v>
      </c>
      <c r="T24" s="0" t="n">
        <v>18</v>
      </c>
      <c r="U24" s="0" t="n">
        <v>6.72</v>
      </c>
      <c r="V24" s="1" t="n">
        <f aca="false">T24*U24/100</f>
        <v>1.2096</v>
      </c>
      <c r="W24" s="1" t="n">
        <f aca="false">100 * (((T24)/(100)) - ((100-T24)/(U24*100-100)))</f>
        <v>3.66433566433566</v>
      </c>
      <c r="X24" s="1" t="n">
        <f aca="false">W24*U24</f>
        <v>24.6243356643357</v>
      </c>
      <c r="Y24" s="1" t="n">
        <f aca="false">X24*T24/100</f>
        <v>4.43238041958042</v>
      </c>
      <c r="Z24" s="1" t="n">
        <v>100</v>
      </c>
      <c r="AA24" s="1" t="n">
        <f aca="false">W24*U24+Z24</f>
        <v>124.624335664336</v>
      </c>
      <c r="AB24" s="1" t="n">
        <f aca="false">Z24-W24</f>
        <v>96.3356643356643</v>
      </c>
      <c r="AC24" s="1" t="n">
        <f aca="false">(AA24*T24/100) + (AB24*(100-T24)/100)</f>
        <v>101.427625174825</v>
      </c>
    </row>
    <row r="25" customFormat="false" ht="12.8" hidden="false" customHeight="false" outlineLevel="0" collapsed="false">
      <c r="A25" s="0" t="n">
        <v>23</v>
      </c>
      <c r="B25" s="0" t="s">
        <v>60</v>
      </c>
      <c r="C25" s="0" t="s">
        <v>83</v>
      </c>
      <c r="D25" s="0" t="n">
        <v>12</v>
      </c>
      <c r="E25" s="0" t="n">
        <v>4.71</v>
      </c>
      <c r="F25" s="1" t="n">
        <f aca="false">D25*E25/100</f>
        <v>0.5652</v>
      </c>
      <c r="H25" s="0" t="n">
        <v>121</v>
      </c>
      <c r="I25" s="0" t="s">
        <v>42</v>
      </c>
      <c r="J25" s="0" t="s">
        <v>43</v>
      </c>
      <c r="K25" s="0" t="n">
        <v>59</v>
      </c>
      <c r="L25" s="0" t="n">
        <v>1.89</v>
      </c>
      <c r="M25" s="1" t="n">
        <f aca="false">K25*L25/100</f>
        <v>1.1151</v>
      </c>
      <c r="N25" s="1" t="n">
        <f aca="false">100 * (((K25)/(100)) - ((100-K25)/(L25*100-100)))</f>
        <v>12.9325842696629</v>
      </c>
      <c r="Q25" s="0" t="n">
        <v>19</v>
      </c>
      <c r="R25" s="0" t="s">
        <v>60</v>
      </c>
      <c r="S25" s="0" t="s">
        <v>73</v>
      </c>
      <c r="T25" s="0" t="n">
        <v>25</v>
      </c>
      <c r="U25" s="0" t="n">
        <v>4.51</v>
      </c>
      <c r="V25" s="1" t="n">
        <f aca="false">T25*U25/100</f>
        <v>1.1275</v>
      </c>
      <c r="W25" s="1" t="n">
        <f aca="false">100 * (((T25)/(100)) - ((100-T25)/(U25*100-100)))</f>
        <v>3.63247863247863</v>
      </c>
      <c r="X25" s="1" t="n">
        <f aca="false">W25*U25</f>
        <v>16.3824786324786</v>
      </c>
      <c r="Y25" s="1" t="n">
        <f aca="false">X25*T25/100</f>
        <v>4.09561965811966</v>
      </c>
      <c r="Z25" s="1" t="n">
        <v>100</v>
      </c>
      <c r="AA25" s="1" t="n">
        <f aca="false">W25*U25+Z25</f>
        <v>116.382478632479</v>
      </c>
      <c r="AB25" s="1" t="n">
        <f aca="false">Z25-W25</f>
        <v>96.3675213675214</v>
      </c>
      <c r="AC25" s="1" t="n">
        <f aca="false">(AA25*T25/100) + (AB25*(100-T25)/100)</f>
        <v>101.371260683761</v>
      </c>
    </row>
    <row r="26" customFormat="false" ht="12.8" hidden="false" customHeight="false" outlineLevel="0" collapsed="false">
      <c r="A26" s="0" t="n">
        <v>24</v>
      </c>
      <c r="B26" s="0" t="s">
        <v>84</v>
      </c>
      <c r="C26" s="0" t="s">
        <v>85</v>
      </c>
      <c r="D26" s="0" t="n">
        <v>50</v>
      </c>
      <c r="E26" s="0" t="n">
        <v>1.9</v>
      </c>
      <c r="F26" s="1" t="n">
        <f aca="false">D26*E26/100</f>
        <v>0.95</v>
      </c>
      <c r="H26" s="0" t="n">
        <v>100</v>
      </c>
      <c r="I26" s="0" t="s">
        <v>39</v>
      </c>
      <c r="J26" s="0" t="s">
        <v>17</v>
      </c>
      <c r="K26" s="0" t="n">
        <v>79</v>
      </c>
      <c r="L26" s="0" t="n">
        <v>1.31</v>
      </c>
      <c r="M26" s="1" t="n">
        <f aca="false">K26*L26/100</f>
        <v>1.0349</v>
      </c>
      <c r="N26" s="1" t="n">
        <f aca="false">100 * (((K26)/(100)) - ((100-K26)/(L26*100-100)))</f>
        <v>11.258064516129</v>
      </c>
      <c r="Q26" s="0" t="n">
        <v>118</v>
      </c>
      <c r="R26" s="0" t="s">
        <v>86</v>
      </c>
      <c r="S26" s="0" t="n">
        <v>0</v>
      </c>
      <c r="T26" s="0" t="n">
        <v>41</v>
      </c>
      <c r="U26" s="0" t="n">
        <v>2.52</v>
      </c>
      <c r="V26" s="1" t="n">
        <f aca="false">T26*U26/100</f>
        <v>1.0332</v>
      </c>
      <c r="W26" s="1" t="n">
        <f aca="false">100 * (((T26)/(100)) - ((100-T26)/(U26*100-100)))</f>
        <v>2.18421052631579</v>
      </c>
      <c r="X26" s="1" t="n">
        <f aca="false">W26*U26</f>
        <v>5.50421052631579</v>
      </c>
      <c r="Y26" s="1" t="n">
        <f aca="false">X26*T26/100</f>
        <v>2.25672631578947</v>
      </c>
      <c r="Z26" s="1" t="n">
        <v>100</v>
      </c>
      <c r="AA26" s="1" t="n">
        <f aca="false">W26*U26+Z26</f>
        <v>105.504210526316</v>
      </c>
      <c r="AB26" s="1" t="n">
        <f aca="false">Z26-W26</f>
        <v>97.8157894736842</v>
      </c>
      <c r="AC26" s="1" t="n">
        <f aca="false">(AA26*T26/100) + (AB26*(100-T26)/100)</f>
        <v>100.968042105263</v>
      </c>
    </row>
    <row r="27" customFormat="false" ht="12.8" hidden="false" customHeight="false" outlineLevel="0" collapsed="false">
      <c r="A27" s="0" t="n">
        <v>25</v>
      </c>
      <c r="B27" s="0" t="s">
        <v>84</v>
      </c>
      <c r="C27" s="0" t="s">
        <v>87</v>
      </c>
      <c r="D27" s="0" t="n">
        <v>50</v>
      </c>
      <c r="E27" s="0" t="n">
        <v>1.97</v>
      </c>
      <c r="F27" s="1" t="n">
        <f aca="false">D27*E27/100</f>
        <v>0.985</v>
      </c>
      <c r="H27" s="0" t="n">
        <v>240</v>
      </c>
      <c r="I27" s="0" t="s">
        <v>47</v>
      </c>
      <c r="J27" s="0" t="s">
        <v>17</v>
      </c>
      <c r="K27" s="0" t="n">
        <v>60</v>
      </c>
      <c r="L27" s="0" t="n">
        <v>1.82</v>
      </c>
      <c r="M27" s="1" t="n">
        <f aca="false">K27*L27/100</f>
        <v>1.092</v>
      </c>
      <c r="N27" s="1" t="n">
        <f aca="false">100 * (((K27)/(100)) - ((100-K27)/(L27*100-100)))</f>
        <v>11.219512195122</v>
      </c>
      <c r="Q27" s="0" t="n">
        <v>177</v>
      </c>
      <c r="R27" s="0" t="s">
        <v>78</v>
      </c>
      <c r="S27" s="0" t="s">
        <v>88</v>
      </c>
      <c r="T27" s="0" t="n">
        <v>15</v>
      </c>
      <c r="U27" s="0" t="n">
        <v>7.8</v>
      </c>
      <c r="V27" s="1" t="n">
        <f aca="false">T27*U27/100</f>
        <v>1.17</v>
      </c>
      <c r="W27" s="1" t="n">
        <f aca="false">100 * (((T27)/(100)) - ((100-T27)/(U27*100-100)))</f>
        <v>2.5</v>
      </c>
      <c r="X27" s="1" t="n">
        <f aca="false">W27*U27</f>
        <v>19.5</v>
      </c>
      <c r="Y27" s="1" t="n">
        <f aca="false">X27*T27/100</f>
        <v>2.925</v>
      </c>
      <c r="Z27" s="1" t="n">
        <v>100</v>
      </c>
      <c r="AA27" s="1" t="n">
        <f aca="false">W27*U27+Z27</f>
        <v>119.5</v>
      </c>
      <c r="AB27" s="1" t="n">
        <f aca="false">Z27-W27</f>
        <v>97.5</v>
      </c>
      <c r="AC27" s="1" t="n">
        <f aca="false">(AA27*T27/100) + (AB27*(100-T27)/100)</f>
        <v>100.8</v>
      </c>
    </row>
    <row r="28" customFormat="false" ht="12.8" hidden="false" customHeight="false" outlineLevel="0" collapsed="false">
      <c r="A28" s="0" t="n">
        <v>26</v>
      </c>
      <c r="B28" s="0" t="s">
        <v>29</v>
      </c>
      <c r="C28" s="0" t="s">
        <v>25</v>
      </c>
      <c r="D28" s="0" t="n">
        <v>36</v>
      </c>
      <c r="E28" s="0" t="n">
        <v>2.61</v>
      </c>
      <c r="F28" s="1" t="n">
        <f aca="false">D28*E28/100</f>
        <v>0.9396</v>
      </c>
      <c r="H28" s="0" t="n">
        <v>241</v>
      </c>
      <c r="I28" s="0" t="s">
        <v>54</v>
      </c>
      <c r="J28" s="0" t="s">
        <v>55</v>
      </c>
      <c r="K28" s="0" t="n">
        <v>51</v>
      </c>
      <c r="L28" s="0" t="n">
        <v>2.23</v>
      </c>
      <c r="M28" s="1" t="n">
        <f aca="false">K28*L28/100</f>
        <v>1.1373</v>
      </c>
      <c r="N28" s="1" t="n">
        <f aca="false">100 * (((K28)/(100)) - ((100-K28)/(L28*100-100)))</f>
        <v>11.1626016260163</v>
      </c>
      <c r="Q28" s="0" t="n">
        <v>134</v>
      </c>
      <c r="R28" s="0" t="s">
        <v>89</v>
      </c>
      <c r="S28" s="0" t="s">
        <v>90</v>
      </c>
      <c r="T28" s="0" t="n">
        <v>15</v>
      </c>
      <c r="U28" s="0" t="n">
        <v>7.75</v>
      </c>
      <c r="V28" s="1" t="n">
        <f aca="false">T28*U28/100</f>
        <v>1.1625</v>
      </c>
      <c r="W28" s="1" t="n">
        <f aca="false">100 * (((T28)/(100)) - ((100-T28)/(U28*100-100)))</f>
        <v>2.40740740740741</v>
      </c>
      <c r="X28" s="1" t="n">
        <f aca="false">W28*U28</f>
        <v>18.6574074074074</v>
      </c>
      <c r="Y28" s="1" t="n">
        <f aca="false">X28*T28/100</f>
        <v>2.79861111111111</v>
      </c>
      <c r="Z28" s="1" t="n">
        <v>100</v>
      </c>
      <c r="AA28" s="1" t="n">
        <f aca="false">W28*U28+Z28</f>
        <v>118.657407407407</v>
      </c>
      <c r="AB28" s="1" t="n">
        <f aca="false">Z28-W28</f>
        <v>97.5925925925926</v>
      </c>
      <c r="AC28" s="1" t="n">
        <f aca="false">(AA28*T28/100) + (AB28*(100-T28)/100)</f>
        <v>100.752314814815</v>
      </c>
    </row>
    <row r="29" customFormat="false" ht="12.8" hidden="false" customHeight="false" outlineLevel="0" collapsed="false">
      <c r="A29" s="0" t="n">
        <v>27</v>
      </c>
      <c r="B29" s="0" t="s">
        <v>29</v>
      </c>
      <c r="C29" s="0" t="s">
        <v>15</v>
      </c>
      <c r="D29" s="0" t="n">
        <v>64</v>
      </c>
      <c r="E29" s="0" t="n">
        <v>1.55</v>
      </c>
      <c r="F29" s="1" t="n">
        <f aca="false">D29*E29/100</f>
        <v>0.992</v>
      </c>
      <c r="H29" s="0" t="n">
        <v>64</v>
      </c>
      <c r="I29" s="0" t="s">
        <v>32</v>
      </c>
      <c r="J29" s="0" t="s">
        <v>24</v>
      </c>
      <c r="K29" s="0" t="n">
        <v>65</v>
      </c>
      <c r="L29" s="0" t="n">
        <v>1.65</v>
      </c>
      <c r="M29" s="1" t="n">
        <f aca="false">K29*L29/100</f>
        <v>1.0725</v>
      </c>
      <c r="N29" s="1" t="n">
        <f aca="false">100 * (((K29)/(100)) - ((100-K29)/(L29*100-100)))</f>
        <v>11.1538461538462</v>
      </c>
      <c r="Q29" s="0" t="n">
        <v>211</v>
      </c>
      <c r="R29" s="0" t="s">
        <v>78</v>
      </c>
      <c r="S29" s="0" t="s">
        <v>91</v>
      </c>
      <c r="T29" s="0" t="n">
        <v>2</v>
      </c>
      <c r="U29" s="0" t="n">
        <v>86.25</v>
      </c>
      <c r="V29" s="1" t="n">
        <f aca="false">T29*U29/100</f>
        <v>1.725</v>
      </c>
      <c r="W29" s="1" t="n">
        <f aca="false">100 * (((T29)/(100)) - ((100-T29)/(U29*100-100)))</f>
        <v>0.850439882697947</v>
      </c>
      <c r="X29" s="1" t="n">
        <f aca="false">W29*U29</f>
        <v>73.350439882698</v>
      </c>
      <c r="Y29" s="1" t="n">
        <f aca="false">X29*T29/100</f>
        <v>1.46700879765396</v>
      </c>
      <c r="Z29" s="1" t="n">
        <v>100</v>
      </c>
      <c r="AA29" s="1" t="n">
        <f aca="false">W29*U29+Z29</f>
        <v>173.350439882698</v>
      </c>
      <c r="AB29" s="1" t="n">
        <f aca="false">Z29-W29</f>
        <v>99.1495601173021</v>
      </c>
      <c r="AC29" s="1" t="n">
        <f aca="false">(AA29*T29/100) + (AB29*(100-T29)/100)</f>
        <v>100.63357771261</v>
      </c>
    </row>
    <row r="30" customFormat="false" ht="12.8" hidden="false" customHeight="false" outlineLevel="0" collapsed="false">
      <c r="A30" s="0" t="n">
        <v>28</v>
      </c>
      <c r="B30" s="0" t="s">
        <v>29</v>
      </c>
      <c r="C30" s="0" t="s">
        <v>31</v>
      </c>
      <c r="D30" s="0" t="n">
        <v>75</v>
      </c>
      <c r="E30" s="0" t="n">
        <v>1.46</v>
      </c>
      <c r="F30" s="1" t="n">
        <f aca="false">D30*E30/100</f>
        <v>1.095</v>
      </c>
      <c r="H30" s="0" t="n">
        <v>59</v>
      </c>
      <c r="I30" s="0" t="s">
        <v>49</v>
      </c>
      <c r="J30" s="0" t="s">
        <v>28</v>
      </c>
      <c r="K30" s="0" t="n">
        <v>75</v>
      </c>
      <c r="L30" s="0" t="n">
        <v>1.38</v>
      </c>
      <c r="M30" s="1" t="n">
        <f aca="false">K30*L30/100</f>
        <v>1.035</v>
      </c>
      <c r="N30" s="1" t="n">
        <f aca="false">100 * (((K30)/(100)) - ((100-K30)/(L30*100-100)))</f>
        <v>9.21052631578947</v>
      </c>
      <c r="Q30" s="0" t="n">
        <v>216</v>
      </c>
      <c r="R30" s="0" t="s">
        <v>78</v>
      </c>
      <c r="S30" s="0" t="s">
        <v>92</v>
      </c>
      <c r="T30" s="0" t="n">
        <v>2</v>
      </c>
      <c r="U30" s="0" t="n">
        <v>86.25</v>
      </c>
      <c r="V30" s="1" t="n">
        <f aca="false">T30*U30/100</f>
        <v>1.725</v>
      </c>
      <c r="W30" s="1" t="n">
        <f aca="false">100 * (((T30)/(100)) - ((100-T30)/(U30*100-100)))</f>
        <v>0.850439882697947</v>
      </c>
      <c r="X30" s="1" t="n">
        <f aca="false">W30*U30</f>
        <v>73.350439882698</v>
      </c>
      <c r="Y30" s="1" t="n">
        <f aca="false">X30*T30/100</f>
        <v>1.46700879765396</v>
      </c>
      <c r="Z30" s="1" t="n">
        <v>100</v>
      </c>
      <c r="AA30" s="1" t="n">
        <f aca="false">W30*U30+Z30</f>
        <v>173.350439882698</v>
      </c>
      <c r="AB30" s="1" t="n">
        <f aca="false">Z30-W30</f>
        <v>99.1495601173021</v>
      </c>
      <c r="AC30" s="1" t="n">
        <f aca="false">(AA30*T30/100) + (AB30*(100-T30)/100)</f>
        <v>100.63357771261</v>
      </c>
    </row>
    <row r="31" customFormat="false" ht="12.8" hidden="false" customHeight="false" outlineLevel="0" collapsed="false">
      <c r="A31" s="0" t="n">
        <v>29</v>
      </c>
      <c r="B31" s="0" t="s">
        <v>29</v>
      </c>
      <c r="C31" s="0" t="s">
        <v>34</v>
      </c>
      <c r="D31" s="0" t="n">
        <v>25</v>
      </c>
      <c r="E31" s="0" t="n">
        <v>2.99</v>
      </c>
      <c r="F31" s="1" t="n">
        <f aca="false">D31*E31/100</f>
        <v>0.7475</v>
      </c>
      <c r="H31" s="0" t="n">
        <v>77</v>
      </c>
      <c r="I31" s="0" t="s">
        <v>37</v>
      </c>
      <c r="J31" s="0" t="s">
        <v>52</v>
      </c>
      <c r="K31" s="0" t="n">
        <v>75</v>
      </c>
      <c r="L31" s="0" t="n">
        <v>1.38</v>
      </c>
      <c r="M31" s="1" t="n">
        <f aca="false">K31*L31/100</f>
        <v>1.035</v>
      </c>
      <c r="N31" s="1" t="n">
        <f aca="false">100 * (((K31)/(100)) - ((100-K31)/(L31*100-100)))</f>
        <v>9.21052631578947</v>
      </c>
      <c r="Q31" s="0" t="n">
        <v>154</v>
      </c>
      <c r="R31" s="0" t="s">
        <v>93</v>
      </c>
      <c r="S31" s="0" t="s">
        <v>94</v>
      </c>
      <c r="T31" s="0" t="n">
        <v>15</v>
      </c>
      <c r="U31" s="0" t="n">
        <v>7.62</v>
      </c>
      <c r="V31" s="1" t="n">
        <f aca="false">T31*U31/100</f>
        <v>1.143</v>
      </c>
      <c r="W31" s="1" t="n">
        <f aca="false">100 * (((T31)/(100)) - ((100-T31)/(U31*100-100)))</f>
        <v>2.16012084592145</v>
      </c>
      <c r="X31" s="1" t="n">
        <f aca="false">W31*U31</f>
        <v>16.4601208459214</v>
      </c>
      <c r="Y31" s="1" t="n">
        <f aca="false">X31*T31/100</f>
        <v>2.46901812688822</v>
      </c>
      <c r="Z31" s="1" t="n">
        <v>100</v>
      </c>
      <c r="AA31" s="1" t="n">
        <f aca="false">W31*U31+Z31</f>
        <v>116.460120845921</v>
      </c>
      <c r="AB31" s="1" t="n">
        <f aca="false">Z31-W31</f>
        <v>97.8398791540785</v>
      </c>
      <c r="AC31" s="1" t="n">
        <f aca="false">(AA31*T31/100) + (AB31*(100-T31)/100)</f>
        <v>100.632915407855</v>
      </c>
    </row>
    <row r="32" customFormat="false" ht="12.8" hidden="false" customHeight="false" outlineLevel="0" collapsed="false">
      <c r="A32" s="0" t="n">
        <v>30</v>
      </c>
      <c r="B32" s="0" t="s">
        <v>29</v>
      </c>
      <c r="C32" s="0" t="s">
        <v>30</v>
      </c>
      <c r="D32" s="0" t="n">
        <v>92</v>
      </c>
      <c r="E32" s="0" t="n">
        <v>0</v>
      </c>
      <c r="F32" s="1" t="n">
        <f aca="false">D32*E32/100</f>
        <v>0</v>
      </c>
      <c r="H32" s="0" t="n">
        <v>42</v>
      </c>
      <c r="I32" s="0" t="s">
        <v>58</v>
      </c>
      <c r="J32" s="0" t="s">
        <v>59</v>
      </c>
      <c r="K32" s="0" t="n">
        <v>32</v>
      </c>
      <c r="L32" s="0" t="n">
        <v>3.89</v>
      </c>
      <c r="M32" s="1" t="n">
        <f aca="false">K32*L32/100</f>
        <v>1.2448</v>
      </c>
      <c r="N32" s="1" t="n">
        <f aca="false">100 * (((K32)/(100)) - ((100-K32)/(L32*100-100)))</f>
        <v>8.47058823529412</v>
      </c>
      <c r="Q32" s="0" t="n">
        <v>3</v>
      </c>
      <c r="R32" s="0" t="s">
        <v>14</v>
      </c>
      <c r="S32" s="0" t="s">
        <v>25</v>
      </c>
      <c r="T32" s="0" t="n">
        <v>15</v>
      </c>
      <c r="U32" s="0" t="n">
        <v>7.61</v>
      </c>
      <c r="V32" s="1" t="n">
        <f aca="false">T32*U32/100</f>
        <v>1.1415</v>
      </c>
      <c r="W32" s="1" t="n">
        <f aca="false">100 * (((T32)/(100)) - ((100-T32)/(U32*100-100)))</f>
        <v>2.14069591527988</v>
      </c>
      <c r="X32" s="1" t="n">
        <f aca="false">W32*U32</f>
        <v>16.2906959152799</v>
      </c>
      <c r="Y32" s="1" t="n">
        <f aca="false">X32*T32/100</f>
        <v>2.44360438729198</v>
      </c>
      <c r="Z32" s="1" t="n">
        <v>100</v>
      </c>
      <c r="AA32" s="1" t="n">
        <f aca="false">W32*U32+Z32</f>
        <v>116.29069591528</v>
      </c>
      <c r="AB32" s="1" t="n">
        <f aca="false">Z32-W32</f>
        <v>97.8593040847201</v>
      </c>
      <c r="AC32" s="1" t="n">
        <f aca="false">(AA32*T32/100) + (AB32*(100-T32)/100)</f>
        <v>100.624012859304</v>
      </c>
    </row>
    <row r="33" customFormat="false" ht="12.8" hidden="false" customHeight="false" outlineLevel="0" collapsed="false">
      <c r="A33" s="0" t="n">
        <v>31</v>
      </c>
      <c r="B33" s="0" t="s">
        <v>29</v>
      </c>
      <c r="C33" s="0" t="s">
        <v>40</v>
      </c>
      <c r="D33" s="0" t="n">
        <v>8</v>
      </c>
      <c r="E33" s="0" t="n">
        <v>7.06</v>
      </c>
      <c r="F33" s="1" t="n">
        <f aca="false">D33*E33/100</f>
        <v>0.5648</v>
      </c>
      <c r="H33" s="0" t="n">
        <v>48</v>
      </c>
      <c r="I33" s="0" t="s">
        <v>63</v>
      </c>
      <c r="J33" s="0" t="s">
        <v>64</v>
      </c>
      <c r="K33" s="0" t="n">
        <v>32</v>
      </c>
      <c r="L33" s="0" t="n">
        <v>3.88</v>
      </c>
      <c r="M33" s="1" t="n">
        <f aca="false">K33*L33/100</f>
        <v>1.2416</v>
      </c>
      <c r="N33" s="1" t="n">
        <f aca="false">100 * (((K33)/(100)) - ((100-K33)/(L33*100-100)))</f>
        <v>8.38888888888889</v>
      </c>
      <c r="Q33" s="0" t="n">
        <v>116</v>
      </c>
      <c r="R33" s="0" t="s">
        <v>81</v>
      </c>
      <c r="S33" s="0" t="n">
        <v>0</v>
      </c>
      <c r="T33" s="0" t="n">
        <v>34</v>
      </c>
      <c r="U33" s="0" t="n">
        <v>3.04</v>
      </c>
      <c r="V33" s="1" t="n">
        <f aca="false">T33*U33/100</f>
        <v>1.0336</v>
      </c>
      <c r="W33" s="1" t="n">
        <f aca="false">100 * (((T33)/(100)) - ((100-T33)/(U33*100-100)))</f>
        <v>1.64705882352941</v>
      </c>
      <c r="X33" s="1" t="n">
        <f aca="false">W33*U33</f>
        <v>5.00705882352941</v>
      </c>
      <c r="Y33" s="1" t="n">
        <f aca="false">X33*T33/100</f>
        <v>1.7024</v>
      </c>
      <c r="Z33" s="1" t="n">
        <v>100</v>
      </c>
      <c r="AA33" s="1" t="n">
        <f aca="false">W33*U33+Z33</f>
        <v>105.007058823529</v>
      </c>
      <c r="AB33" s="1" t="n">
        <f aca="false">Z33-W33</f>
        <v>98.3529411764706</v>
      </c>
      <c r="AC33" s="1" t="n">
        <f aca="false">(AA33*T33/100) + (AB33*(100-T33)/100)</f>
        <v>100.615341176471</v>
      </c>
    </row>
    <row r="34" customFormat="false" ht="12.8" hidden="false" customHeight="false" outlineLevel="0" collapsed="false">
      <c r="A34" s="0" t="n">
        <v>32</v>
      </c>
      <c r="B34" s="0" t="s">
        <v>95</v>
      </c>
      <c r="C34" s="0" t="n">
        <v>1</v>
      </c>
      <c r="D34" s="0" t="n">
        <v>32</v>
      </c>
      <c r="E34" s="0" t="n">
        <v>3.02</v>
      </c>
      <c r="F34" s="1" t="n">
        <f aca="false">D34*E34/100</f>
        <v>0.9664</v>
      </c>
      <c r="H34" s="0" t="n">
        <v>229</v>
      </c>
      <c r="I34" s="0" t="s">
        <v>66</v>
      </c>
      <c r="J34" s="0" t="s">
        <v>67</v>
      </c>
      <c r="K34" s="0" t="n">
        <v>63</v>
      </c>
      <c r="L34" s="0" t="n">
        <v>1.65</v>
      </c>
      <c r="M34" s="1" t="n">
        <f aca="false">K34*L34/100</f>
        <v>1.0395</v>
      </c>
      <c r="N34" s="1" t="n">
        <f aca="false">100 * (((K34)/(100)) - ((100-K34)/(L34*100-100)))</f>
        <v>6.07692307692308</v>
      </c>
      <c r="Q34" s="0" t="n">
        <v>87</v>
      </c>
      <c r="R34" s="0" t="s">
        <v>96</v>
      </c>
      <c r="S34" s="0" t="s">
        <v>97</v>
      </c>
      <c r="T34" s="0" t="n">
        <v>50</v>
      </c>
      <c r="U34" s="0" t="n">
        <v>2.02</v>
      </c>
      <c r="V34" s="1" t="n">
        <f aca="false">T34*U34/100</f>
        <v>1.01</v>
      </c>
      <c r="W34" s="1" t="n">
        <f aca="false">100 * (((T34)/(100)) - ((100-T34)/(U34*100-100)))</f>
        <v>0.980392156862747</v>
      </c>
      <c r="X34" s="1" t="n">
        <f aca="false">W34*U34</f>
        <v>1.98039215686275</v>
      </c>
      <c r="Y34" s="1" t="n">
        <f aca="false">X34*T34/100</f>
        <v>0.990196078431375</v>
      </c>
      <c r="Z34" s="1" t="n">
        <v>100</v>
      </c>
      <c r="AA34" s="1" t="n">
        <f aca="false">W34*U34+Z34</f>
        <v>101.980392156863</v>
      </c>
      <c r="AB34" s="1" t="n">
        <f aca="false">Z34-W34</f>
        <v>99.0196078431373</v>
      </c>
      <c r="AC34" s="1" t="n">
        <f aca="false">(AA34*T34/100) + (AB34*(100-T34)/100)</f>
        <v>100.5</v>
      </c>
    </row>
    <row r="35" customFormat="false" ht="12.8" hidden="false" customHeight="false" outlineLevel="0" collapsed="false">
      <c r="A35" s="0" t="n">
        <v>33</v>
      </c>
      <c r="B35" s="0" t="s">
        <v>95</v>
      </c>
      <c r="C35" s="0" t="n">
        <v>0</v>
      </c>
      <c r="D35" s="0" t="n">
        <v>47</v>
      </c>
      <c r="E35" s="0" t="n">
        <v>2.13</v>
      </c>
      <c r="F35" s="1" t="n">
        <f aca="false">D35*E35/100</f>
        <v>1.0011</v>
      </c>
      <c r="H35" s="0" t="n">
        <v>94</v>
      </c>
      <c r="I35" s="0" t="s">
        <v>72</v>
      </c>
      <c r="J35" s="0" t="s">
        <v>36</v>
      </c>
      <c r="K35" s="0" t="n">
        <v>44</v>
      </c>
      <c r="L35" s="0" t="n">
        <v>2.44</v>
      </c>
      <c r="M35" s="1" t="n">
        <f aca="false">K35*L35/100</f>
        <v>1.0736</v>
      </c>
      <c r="N35" s="1" t="n">
        <f aca="false">100 * (((K35)/(100)) - ((100-K35)/(L35*100-100)))</f>
        <v>5.11111111111111</v>
      </c>
      <c r="Q35" s="0" t="n">
        <v>68</v>
      </c>
      <c r="R35" s="0" t="s">
        <v>23</v>
      </c>
      <c r="S35" s="0" t="s">
        <v>98</v>
      </c>
      <c r="T35" s="0" t="n">
        <v>36</v>
      </c>
      <c r="U35" s="0" t="n">
        <v>2.84</v>
      </c>
      <c r="V35" s="1" t="n">
        <f aca="false">T35*U35/100</f>
        <v>1.0224</v>
      </c>
      <c r="W35" s="1" t="n">
        <f aca="false">100 * (((T35)/(100)) - ((100-T35)/(U35*100-100)))</f>
        <v>1.21739130434783</v>
      </c>
      <c r="X35" s="1" t="n">
        <f aca="false">W35*U35</f>
        <v>3.45739130434782</v>
      </c>
      <c r="Y35" s="1" t="n">
        <f aca="false">X35*T35/100</f>
        <v>1.24466086956522</v>
      </c>
      <c r="Z35" s="1" t="n">
        <v>100</v>
      </c>
      <c r="AA35" s="1" t="n">
        <f aca="false">W35*U35+Z35</f>
        <v>103.457391304348</v>
      </c>
      <c r="AB35" s="1" t="n">
        <f aca="false">Z35-W35</f>
        <v>98.7826086956522</v>
      </c>
      <c r="AC35" s="1" t="n">
        <f aca="false">(AA35*T35/100) + (AB35*(100-T35)/100)</f>
        <v>100.465530434783</v>
      </c>
    </row>
    <row r="36" customFormat="false" ht="12.8" hidden="false" customHeight="false" outlineLevel="0" collapsed="false">
      <c r="A36" s="0" t="n">
        <v>34</v>
      </c>
      <c r="B36" s="0" t="s">
        <v>95</v>
      </c>
      <c r="C36" s="0" t="n">
        <v>2</v>
      </c>
      <c r="D36" s="0" t="n">
        <v>21</v>
      </c>
      <c r="E36" s="0" t="n">
        <v>3.62</v>
      </c>
      <c r="F36" s="1" t="n">
        <f aca="false">D36*E36/100</f>
        <v>0.7602</v>
      </c>
      <c r="H36" s="0" t="n">
        <v>36</v>
      </c>
      <c r="I36" s="0" t="s">
        <v>69</v>
      </c>
      <c r="J36" s="0" t="s">
        <v>70</v>
      </c>
      <c r="K36" s="0" t="n">
        <v>15</v>
      </c>
      <c r="L36" s="0" t="n">
        <v>9.43</v>
      </c>
      <c r="M36" s="1" t="n">
        <f aca="false">K36*L36/100</f>
        <v>1.4145</v>
      </c>
      <c r="N36" s="1" t="n">
        <f aca="false">100 * (((K36)/(100)) - ((100-K36)/(L36*100-100)))</f>
        <v>4.91696322657177</v>
      </c>
      <c r="Q36" s="0" t="n">
        <v>172</v>
      </c>
      <c r="R36" s="0" t="s">
        <v>99</v>
      </c>
      <c r="S36" s="0" t="s">
        <v>100</v>
      </c>
      <c r="T36" s="0" t="n">
        <v>5</v>
      </c>
      <c r="U36" s="0" t="n">
        <v>25.75</v>
      </c>
      <c r="V36" s="1" t="n">
        <f aca="false">T36*U36/100</f>
        <v>1.2875</v>
      </c>
      <c r="W36" s="1" t="n">
        <f aca="false">100 * (((T36)/(100)) - ((100-T36)/(U36*100-100)))</f>
        <v>1.16161616161616</v>
      </c>
      <c r="X36" s="1" t="n">
        <f aca="false">W36*U36</f>
        <v>29.9116161616162</v>
      </c>
      <c r="Y36" s="1" t="n">
        <f aca="false">X36*T36/100</f>
        <v>1.49558080808081</v>
      </c>
      <c r="Z36" s="1" t="n">
        <v>100</v>
      </c>
      <c r="AA36" s="1" t="n">
        <f aca="false">W36*U36+Z36</f>
        <v>129.911616161616</v>
      </c>
      <c r="AB36" s="1" t="n">
        <f aca="false">Z36-W36</f>
        <v>98.8383838383838</v>
      </c>
      <c r="AC36" s="1" t="n">
        <f aca="false">(AA36*T36/100) + (AB36*(100-T36)/100)</f>
        <v>100.392045454545</v>
      </c>
    </row>
    <row r="37" customFormat="false" ht="12.8" hidden="false" customHeight="false" outlineLevel="0" collapsed="false">
      <c r="A37" s="0" t="n">
        <v>35</v>
      </c>
      <c r="B37" s="0" t="s">
        <v>69</v>
      </c>
      <c r="C37" s="0" t="s">
        <v>101</v>
      </c>
      <c r="D37" s="0" t="n">
        <v>9</v>
      </c>
      <c r="E37" s="0" t="n">
        <v>7.61</v>
      </c>
      <c r="F37" s="1" t="n">
        <f aca="false">D37*E37/100</f>
        <v>0.6849</v>
      </c>
      <c r="H37" s="0" t="n">
        <v>1</v>
      </c>
      <c r="I37" s="0" t="s">
        <v>12</v>
      </c>
      <c r="J37" s="0" t="s">
        <v>18</v>
      </c>
      <c r="K37" s="0" t="n">
        <v>34</v>
      </c>
      <c r="L37" s="0" t="n">
        <v>3.2</v>
      </c>
      <c r="M37" s="1" t="n">
        <f aca="false">K37*L37/100</f>
        <v>1.088</v>
      </c>
      <c r="N37" s="1" t="n">
        <f aca="false">100 * (((K37)/(100)) - ((100-K37)/(L37*100-100)))</f>
        <v>4</v>
      </c>
      <c r="Q37" s="0" t="n">
        <v>165</v>
      </c>
      <c r="R37" s="0" t="s">
        <v>102</v>
      </c>
      <c r="S37" s="0" t="s">
        <v>103</v>
      </c>
      <c r="T37" s="0" t="n">
        <v>47</v>
      </c>
      <c r="U37" s="0" t="n">
        <v>2.14</v>
      </c>
      <c r="V37" s="1" t="n">
        <f aca="false">T37*U37/100</f>
        <v>1.0058</v>
      </c>
      <c r="W37" s="1" t="n">
        <f aca="false">100 * (((T37)/(100)) - ((100-T37)/(U37*100-100)))</f>
        <v>0.508771929824559</v>
      </c>
      <c r="X37" s="1" t="n">
        <f aca="false">W37*U37</f>
        <v>1.08877192982456</v>
      </c>
      <c r="Y37" s="1" t="n">
        <f aca="false">X37*T37/100</f>
        <v>0.511722807017541</v>
      </c>
      <c r="Z37" s="1" t="n">
        <v>100</v>
      </c>
      <c r="AA37" s="1" t="n">
        <f aca="false">W37*U37+Z37</f>
        <v>101.088771929825</v>
      </c>
      <c r="AB37" s="1" t="n">
        <f aca="false">Z37-W37</f>
        <v>99.4912280701754</v>
      </c>
      <c r="AC37" s="1" t="n">
        <f aca="false">(AA37*T37/100) + (AB37*(100-T37)/100)</f>
        <v>100.242073684211</v>
      </c>
    </row>
    <row r="38" customFormat="false" ht="12.8" hidden="false" customHeight="false" outlineLevel="0" collapsed="false">
      <c r="A38" s="0" t="n">
        <v>36</v>
      </c>
      <c r="B38" s="0" t="s">
        <v>69</v>
      </c>
      <c r="C38" s="0" t="s">
        <v>70</v>
      </c>
      <c r="D38" s="0" t="n">
        <v>15</v>
      </c>
      <c r="E38" s="0" t="n">
        <v>9.43</v>
      </c>
      <c r="F38" s="1" t="n">
        <f aca="false">D38*E38/100</f>
        <v>1.4145</v>
      </c>
      <c r="H38" s="0" t="n">
        <v>54</v>
      </c>
      <c r="I38" s="0" t="s">
        <v>75</v>
      </c>
      <c r="J38" s="0" t="s">
        <v>76</v>
      </c>
      <c r="K38" s="0" t="n">
        <v>34</v>
      </c>
      <c r="L38" s="0" t="n">
        <v>3.18</v>
      </c>
      <c r="M38" s="1" t="n">
        <f aca="false">K38*L38/100</f>
        <v>1.0812</v>
      </c>
      <c r="N38" s="1" t="n">
        <f aca="false">100 * (((K38)/(100)) - ((100-K38)/(L38*100-100)))</f>
        <v>3.72477064220184</v>
      </c>
      <c r="Q38" s="0" t="n">
        <v>200</v>
      </c>
      <c r="R38" s="0" t="s">
        <v>78</v>
      </c>
      <c r="S38" s="0" t="s">
        <v>104</v>
      </c>
      <c r="T38" s="0" t="n">
        <v>3</v>
      </c>
      <c r="U38" s="0" t="n">
        <v>43.25</v>
      </c>
      <c r="V38" s="1" t="n">
        <f aca="false">T38*U38/100</f>
        <v>1.2975</v>
      </c>
      <c r="W38" s="1" t="n">
        <f aca="false">100 * (((T38)/(100)) - ((100-T38)/(U38*100-100)))</f>
        <v>0.704142011834319</v>
      </c>
      <c r="X38" s="1" t="n">
        <f aca="false">W38*U38</f>
        <v>30.4541420118343</v>
      </c>
      <c r="Y38" s="1" t="n">
        <f aca="false">X38*T38/100</f>
        <v>0.913624260355029</v>
      </c>
      <c r="Z38" s="1" t="n">
        <v>100</v>
      </c>
      <c r="AA38" s="1" t="n">
        <f aca="false">W38*U38+Z38</f>
        <v>130.454142011834</v>
      </c>
      <c r="AB38" s="1" t="n">
        <f aca="false">Z38-W38</f>
        <v>99.2958579881657</v>
      </c>
      <c r="AC38" s="1" t="n">
        <f aca="false">(AA38*T38/100) + (AB38*(100-T38)/100)</f>
        <v>100.230606508876</v>
      </c>
    </row>
    <row r="39" customFormat="false" ht="12.8" hidden="false" customHeight="false" outlineLevel="0" collapsed="false">
      <c r="A39" s="0" t="n">
        <v>37</v>
      </c>
      <c r="B39" s="0" t="s">
        <v>69</v>
      </c>
      <c r="C39" s="0" t="s">
        <v>105</v>
      </c>
      <c r="D39" s="0" t="n">
        <v>8</v>
      </c>
      <c r="E39" s="0" t="n">
        <v>8.87</v>
      </c>
      <c r="F39" s="1" t="n">
        <f aca="false">D39*E39/100</f>
        <v>0.7096</v>
      </c>
      <c r="H39" s="0" t="n">
        <v>111</v>
      </c>
      <c r="I39" s="0" t="s">
        <v>81</v>
      </c>
      <c r="J39" s="0" t="s">
        <v>82</v>
      </c>
      <c r="K39" s="0" t="n">
        <v>18</v>
      </c>
      <c r="L39" s="0" t="n">
        <v>6.72</v>
      </c>
      <c r="M39" s="1" t="n">
        <f aca="false">K39*L39/100</f>
        <v>1.2096</v>
      </c>
      <c r="N39" s="1" t="n">
        <f aca="false">100 * (((K39)/(100)) - ((100-K39)/(L39*100-100)))</f>
        <v>3.66433566433566</v>
      </c>
      <c r="Q39" s="0" t="n">
        <v>203</v>
      </c>
      <c r="R39" s="0" t="s">
        <v>78</v>
      </c>
      <c r="S39" s="0" t="s">
        <v>106</v>
      </c>
      <c r="T39" s="0" t="n">
        <v>2</v>
      </c>
      <c r="U39" s="0" t="n">
        <v>69.25</v>
      </c>
      <c r="V39" s="1" t="n">
        <f aca="false">T39*U39/100</f>
        <v>1.385</v>
      </c>
      <c r="W39" s="1" t="n">
        <f aca="false">100 * (((T39)/(100)) - ((100-T39)/(U39*100-100)))</f>
        <v>0.564102564102564</v>
      </c>
      <c r="X39" s="1" t="n">
        <f aca="false">W39*U39</f>
        <v>39.0641025641026</v>
      </c>
      <c r="Y39" s="1" t="n">
        <f aca="false">X39*T39/100</f>
        <v>0.781282051282051</v>
      </c>
      <c r="Z39" s="1" t="n">
        <v>100</v>
      </c>
      <c r="AA39" s="1" t="n">
        <f aca="false">W39*U39+Z39</f>
        <v>139.064102564103</v>
      </c>
      <c r="AB39" s="1" t="n">
        <f aca="false">Z39-W39</f>
        <v>99.4358974358974</v>
      </c>
      <c r="AC39" s="1" t="n">
        <f aca="false">(AA39*T39/100) + (AB39*(100-T39)/100)</f>
        <v>100.228461538462</v>
      </c>
    </row>
    <row r="40" customFormat="false" ht="12.8" hidden="false" customHeight="false" outlineLevel="0" collapsed="false">
      <c r="A40" s="0" t="n">
        <v>38</v>
      </c>
      <c r="B40" s="0" t="s">
        <v>69</v>
      </c>
      <c r="C40" s="0" t="s">
        <v>107</v>
      </c>
      <c r="D40" s="0" t="n">
        <v>32</v>
      </c>
      <c r="E40" s="0" t="n">
        <v>2.98</v>
      </c>
      <c r="F40" s="1" t="n">
        <f aca="false">D40*E40/100</f>
        <v>0.9536</v>
      </c>
      <c r="H40" s="0" t="n">
        <v>19</v>
      </c>
      <c r="I40" s="0" t="s">
        <v>60</v>
      </c>
      <c r="J40" s="0" t="s">
        <v>73</v>
      </c>
      <c r="K40" s="0" t="n">
        <v>25</v>
      </c>
      <c r="L40" s="0" t="n">
        <v>4.51</v>
      </c>
      <c r="M40" s="1" t="n">
        <f aca="false">K40*L40/100</f>
        <v>1.1275</v>
      </c>
      <c r="N40" s="1" t="n">
        <f aca="false">100 * (((K40)/(100)) - ((100-K40)/(L40*100-100)))</f>
        <v>3.63247863247863</v>
      </c>
      <c r="Q40" s="0" t="n">
        <v>123</v>
      </c>
      <c r="R40" s="0" t="s">
        <v>89</v>
      </c>
      <c r="S40" s="0" t="s">
        <v>108</v>
      </c>
      <c r="T40" s="0" t="n">
        <v>12</v>
      </c>
      <c r="U40" s="0" t="n">
        <v>9</v>
      </c>
      <c r="V40" s="1" t="n">
        <f aca="false">T40*U40/100</f>
        <v>1.08</v>
      </c>
      <c r="W40" s="1" t="n">
        <f aca="false">100 * (((T40)/(100)) - ((100-T40)/(U40*100-100)))</f>
        <v>1</v>
      </c>
      <c r="X40" s="1" t="n">
        <f aca="false">W40*U40</f>
        <v>9</v>
      </c>
      <c r="Y40" s="1" t="n">
        <f aca="false">X40*T40/100</f>
        <v>1.08</v>
      </c>
      <c r="Z40" s="1" t="n">
        <v>100</v>
      </c>
      <c r="AA40" s="1" t="n">
        <f aca="false">W40*U40+Z40</f>
        <v>109</v>
      </c>
      <c r="AB40" s="1" t="n">
        <f aca="false">Z40-W40</f>
        <v>99</v>
      </c>
      <c r="AC40" s="1" t="n">
        <f aca="false">(AA40*T40/100) + (AB40*(100-T40)/100)</f>
        <v>100.2</v>
      </c>
    </row>
    <row r="41" customFormat="false" ht="12.8" hidden="false" customHeight="false" outlineLevel="0" collapsed="false">
      <c r="A41" s="0" t="n">
        <v>39</v>
      </c>
      <c r="B41" s="0" t="s">
        <v>69</v>
      </c>
      <c r="C41" s="0" t="s">
        <v>109</v>
      </c>
      <c r="D41" s="0" t="n">
        <v>19</v>
      </c>
      <c r="E41" s="0" t="n">
        <v>4.31</v>
      </c>
      <c r="F41" s="1" t="n">
        <f aca="false">D41*E41/100</f>
        <v>0.8189</v>
      </c>
      <c r="H41" s="0" t="n">
        <v>191</v>
      </c>
      <c r="I41" s="0" t="s">
        <v>78</v>
      </c>
      <c r="J41" s="0" t="s">
        <v>79</v>
      </c>
      <c r="K41" s="0" t="n">
        <v>8</v>
      </c>
      <c r="L41" s="0" t="n">
        <v>18.25</v>
      </c>
      <c r="M41" s="1" t="n">
        <f aca="false">K41*L41/100</f>
        <v>1.46</v>
      </c>
      <c r="N41" s="1" t="n">
        <f aca="false">100 * (((K41)/(100)) - ((100-K41)/(L41*100-100)))</f>
        <v>2.66666666666667</v>
      </c>
      <c r="Q41" s="0" t="n">
        <v>63</v>
      </c>
      <c r="R41" s="0" t="s">
        <v>32</v>
      </c>
      <c r="S41" s="0" t="s">
        <v>110</v>
      </c>
      <c r="T41" s="0" t="n">
        <v>71</v>
      </c>
      <c r="U41" s="0" t="n">
        <v>1.41</v>
      </c>
      <c r="V41" s="1" t="n">
        <f aca="false">T41*U41/100</f>
        <v>1.0011</v>
      </c>
      <c r="W41" s="1" t="n">
        <f aca="false">100 * (((T41)/(100)) - ((100-T41)/(U41*100-100)))</f>
        <v>0.268292682926829</v>
      </c>
      <c r="X41" s="1" t="n">
        <f aca="false">W41*U41</f>
        <v>0.37829268292683</v>
      </c>
      <c r="Y41" s="1" t="n">
        <f aca="false">X41*T41/100</f>
        <v>0.268587804878049</v>
      </c>
      <c r="Z41" s="1" t="n">
        <v>100</v>
      </c>
      <c r="AA41" s="1" t="n">
        <f aca="false">W41*U41+Z41</f>
        <v>100.378292682927</v>
      </c>
      <c r="AB41" s="1" t="n">
        <f aca="false">Z41-W41</f>
        <v>99.7317073170732</v>
      </c>
      <c r="AC41" s="1" t="n">
        <f aca="false">(AA41*T41/100) + (AB41*(100-T41)/100)</f>
        <v>100.190782926829</v>
      </c>
    </row>
    <row r="42" customFormat="false" ht="12.8" hidden="false" customHeight="false" outlineLevel="0" collapsed="false">
      <c r="A42" s="0" t="n">
        <v>40</v>
      </c>
      <c r="B42" s="0" t="s">
        <v>69</v>
      </c>
      <c r="C42" s="0" t="s">
        <v>111</v>
      </c>
      <c r="D42" s="0" t="n">
        <v>17</v>
      </c>
      <c r="E42" s="0" t="n">
        <v>3.9</v>
      </c>
      <c r="F42" s="1" t="n">
        <f aca="false">D42*E42/100</f>
        <v>0.663</v>
      </c>
      <c r="H42" s="0" t="n">
        <v>177</v>
      </c>
      <c r="I42" s="0" t="s">
        <v>78</v>
      </c>
      <c r="J42" s="0" t="s">
        <v>88</v>
      </c>
      <c r="K42" s="0" t="n">
        <v>15</v>
      </c>
      <c r="L42" s="0" t="n">
        <v>7.8</v>
      </c>
      <c r="M42" s="1" t="n">
        <f aca="false">K42*L42/100</f>
        <v>1.17</v>
      </c>
      <c r="N42" s="1" t="n">
        <f aca="false">100 * (((K42)/(100)) - ((100-K42)/(L42*100-100)))</f>
        <v>2.5</v>
      </c>
      <c r="Q42" s="0" t="n">
        <v>86</v>
      </c>
      <c r="R42" s="0" t="s">
        <v>96</v>
      </c>
      <c r="S42" s="0" t="s">
        <v>112</v>
      </c>
      <c r="T42" s="0" t="n">
        <v>32</v>
      </c>
      <c r="U42" s="0" t="n">
        <v>3.16</v>
      </c>
      <c r="V42" s="1" t="n">
        <f aca="false">T42*U42/100</f>
        <v>1.0112</v>
      </c>
      <c r="W42" s="1" t="n">
        <f aca="false">100 * (((T42)/(100)) - ((100-T42)/(U42*100-100)))</f>
        <v>0.518518518518518</v>
      </c>
      <c r="X42" s="1" t="n">
        <f aca="false">W42*U42</f>
        <v>1.63851851851852</v>
      </c>
      <c r="Y42" s="1" t="n">
        <f aca="false">X42*T42/100</f>
        <v>0.524325925925926</v>
      </c>
      <c r="Z42" s="1" t="n">
        <v>100</v>
      </c>
      <c r="AA42" s="1" t="n">
        <f aca="false">W42*U42+Z42</f>
        <v>101.638518518519</v>
      </c>
      <c r="AB42" s="1" t="n">
        <f aca="false">Z42-W42</f>
        <v>99.4814814814815</v>
      </c>
      <c r="AC42" s="1" t="n">
        <f aca="false">(AA42*T42/100) + (AB42*(100-T42)/100)</f>
        <v>100.171733333333</v>
      </c>
    </row>
    <row r="43" customFormat="false" ht="12.8" hidden="false" customHeight="false" outlineLevel="0" collapsed="false">
      <c r="A43" s="0" t="n">
        <v>41</v>
      </c>
      <c r="B43" s="0" t="s">
        <v>58</v>
      </c>
      <c r="C43" s="0" t="s">
        <v>113</v>
      </c>
      <c r="D43" s="0" t="n">
        <v>21</v>
      </c>
      <c r="E43" s="0" t="n">
        <v>4.67</v>
      </c>
      <c r="F43" s="1" t="n">
        <f aca="false">D43*E43/100</f>
        <v>0.9807</v>
      </c>
      <c r="H43" s="0" t="n">
        <v>134</v>
      </c>
      <c r="I43" s="0" t="s">
        <v>89</v>
      </c>
      <c r="J43" s="0" t="s">
        <v>90</v>
      </c>
      <c r="K43" s="0" t="n">
        <v>15</v>
      </c>
      <c r="L43" s="0" t="n">
        <v>7.75</v>
      </c>
      <c r="M43" s="1" t="n">
        <f aca="false">K43*L43/100</f>
        <v>1.1625</v>
      </c>
      <c r="N43" s="1" t="n">
        <f aca="false">100 * (((K43)/(100)) - ((100-K43)/(L43*100-100)))</f>
        <v>2.40740740740741</v>
      </c>
      <c r="Q43" s="0" t="n">
        <v>21</v>
      </c>
      <c r="R43" s="0" t="s">
        <v>60</v>
      </c>
      <c r="S43" s="0" t="s">
        <v>77</v>
      </c>
      <c r="T43" s="0" t="n">
        <v>4</v>
      </c>
      <c r="U43" s="0" t="n">
        <v>28.75</v>
      </c>
      <c r="V43" s="1" t="n">
        <f aca="false">T43*U43/100</f>
        <v>1.15</v>
      </c>
      <c r="W43" s="1" t="n">
        <f aca="false">100 * (((T43)/(100)) - ((100-T43)/(U43*100-100)))</f>
        <v>0.540540540540541</v>
      </c>
      <c r="X43" s="1" t="n">
        <f aca="false">W43*U43</f>
        <v>15.5405405405405</v>
      </c>
      <c r="Y43" s="1" t="n">
        <f aca="false">X43*T43/100</f>
        <v>0.621621621621622</v>
      </c>
      <c r="Z43" s="1" t="n">
        <v>100</v>
      </c>
      <c r="AA43" s="1" t="n">
        <f aca="false">W43*U43+Z43</f>
        <v>115.540540540541</v>
      </c>
      <c r="AB43" s="1" t="n">
        <f aca="false">Z43-W43</f>
        <v>99.4594594594595</v>
      </c>
      <c r="AC43" s="1" t="n">
        <f aca="false">(AA43*T43/100) + (AB43*(100-T43)/100)</f>
        <v>100.102702702703</v>
      </c>
    </row>
    <row r="44" customFormat="false" ht="12.8" hidden="false" customHeight="false" outlineLevel="0" collapsed="false">
      <c r="A44" s="0" t="n">
        <v>42</v>
      </c>
      <c r="B44" s="0" t="s">
        <v>58</v>
      </c>
      <c r="C44" s="0" t="s">
        <v>59</v>
      </c>
      <c r="D44" s="0" t="n">
        <v>32</v>
      </c>
      <c r="E44" s="0" t="n">
        <v>3.89</v>
      </c>
      <c r="F44" s="1" t="n">
        <f aca="false">D44*E44/100</f>
        <v>1.2448</v>
      </c>
      <c r="H44" s="0" t="n">
        <v>118</v>
      </c>
      <c r="I44" s="0" t="s">
        <v>86</v>
      </c>
      <c r="J44" s="0" t="n">
        <v>0</v>
      </c>
      <c r="K44" s="0" t="n">
        <v>41</v>
      </c>
      <c r="L44" s="0" t="n">
        <v>2.52</v>
      </c>
      <c r="M44" s="1" t="n">
        <f aca="false">K44*L44/100</f>
        <v>1.0332</v>
      </c>
      <c r="N44" s="1" t="n">
        <f aca="false">100 * (((K44)/(100)) - ((100-K44)/(L44*100-100)))</f>
        <v>2.18421052631579</v>
      </c>
      <c r="Q44" s="0" t="n">
        <v>33</v>
      </c>
      <c r="R44" s="0" t="s">
        <v>95</v>
      </c>
      <c r="S44" s="0" t="n">
        <v>0</v>
      </c>
      <c r="T44" s="0" t="n">
        <v>47</v>
      </c>
      <c r="U44" s="0" t="n">
        <v>2.13</v>
      </c>
      <c r="V44" s="1" t="n">
        <f aca="false">T44*U44/100</f>
        <v>1.0011</v>
      </c>
      <c r="W44" s="1" t="n">
        <f aca="false">100 * (((T44)/(100)) - ((100-T44)/(U44*100-100)))</f>
        <v>0.0973451327433594</v>
      </c>
      <c r="X44" s="1" t="n">
        <f aca="false">W44*U44</f>
        <v>0.207345132743356</v>
      </c>
      <c r="Y44" s="1" t="n">
        <f aca="false">X44*T44/100</f>
        <v>0.0974522123893771</v>
      </c>
      <c r="Z44" s="1" t="n">
        <v>100</v>
      </c>
      <c r="AA44" s="1" t="n">
        <f aca="false">W44*U44+Z44</f>
        <v>100.207345132743</v>
      </c>
      <c r="AB44" s="1" t="n">
        <f aca="false">Z44-W44</f>
        <v>99.9026548672567</v>
      </c>
      <c r="AC44" s="1" t="n">
        <f aca="false">(AA44*T44/100) + (AB44*(100-T44)/100)</f>
        <v>100.045859292035</v>
      </c>
    </row>
    <row r="45" customFormat="false" ht="12.8" hidden="false" customHeight="false" outlineLevel="0" collapsed="false">
      <c r="A45" s="0" t="n">
        <v>43</v>
      </c>
      <c r="B45" s="0" t="s">
        <v>58</v>
      </c>
      <c r="C45" s="0" t="s">
        <v>114</v>
      </c>
      <c r="D45" s="0" t="n">
        <v>11</v>
      </c>
      <c r="E45" s="0" t="n">
        <v>5.75</v>
      </c>
      <c r="F45" s="1" t="n">
        <f aca="false">D45*E45/100</f>
        <v>0.6325</v>
      </c>
      <c r="H45" s="0" t="n">
        <v>154</v>
      </c>
      <c r="I45" s="0" t="s">
        <v>93</v>
      </c>
      <c r="J45" s="0" t="s">
        <v>94</v>
      </c>
      <c r="K45" s="0" t="n">
        <v>15</v>
      </c>
      <c r="L45" s="0" t="n">
        <v>7.62</v>
      </c>
      <c r="M45" s="1" t="n">
        <f aca="false">K45*L45/100</f>
        <v>1.143</v>
      </c>
      <c r="N45" s="1" t="n">
        <f aca="false">100 * (((K45)/(100)) - ((100-K45)/(L45*100-100)))</f>
        <v>2.16012084592145</v>
      </c>
      <c r="Q45" s="0" t="n">
        <v>182</v>
      </c>
      <c r="R45" s="0" t="s">
        <v>78</v>
      </c>
      <c r="S45" s="0" t="s">
        <v>115</v>
      </c>
      <c r="T45" s="0" t="n">
        <v>7</v>
      </c>
      <c r="U45" s="0" t="n">
        <v>14.85</v>
      </c>
      <c r="V45" s="1" t="n">
        <f aca="false">T45*U45/100</f>
        <v>1.0395</v>
      </c>
      <c r="W45" s="1" t="n">
        <f aca="false">100 * (((T45)/(100)) - ((100-T45)/(U45*100-100)))</f>
        <v>0.28519855595668</v>
      </c>
      <c r="X45" s="1" t="n">
        <f aca="false">W45*U45</f>
        <v>4.23519855595669</v>
      </c>
      <c r="Y45" s="1" t="n">
        <f aca="false">X45*T45/100</f>
        <v>0.296463898916969</v>
      </c>
      <c r="Z45" s="1" t="n">
        <v>100</v>
      </c>
      <c r="AA45" s="1" t="n">
        <f aca="false">W45*U45+Z45</f>
        <v>104.235198555957</v>
      </c>
      <c r="AB45" s="1" t="n">
        <f aca="false">Z45-W45</f>
        <v>99.7148014440433</v>
      </c>
      <c r="AC45" s="1" t="n">
        <f aca="false">(AA45*T45/100) + (AB45*(100-T45)/100)</f>
        <v>100.031229241877</v>
      </c>
    </row>
    <row r="46" customFormat="false" ht="12.8" hidden="false" customHeight="false" outlineLevel="0" collapsed="false">
      <c r="A46" s="0" t="n">
        <v>44</v>
      </c>
      <c r="B46" s="0" t="s">
        <v>58</v>
      </c>
      <c r="C46" s="0" t="s">
        <v>116</v>
      </c>
      <c r="D46" s="0" t="n">
        <v>20</v>
      </c>
      <c r="E46" s="0" t="n">
        <v>3.84</v>
      </c>
      <c r="F46" s="1" t="n">
        <f aca="false">D46*E46/100</f>
        <v>0.768</v>
      </c>
      <c r="H46" s="0" t="n">
        <v>3</v>
      </c>
      <c r="I46" s="0" t="s">
        <v>14</v>
      </c>
      <c r="J46" s="0" t="s">
        <v>25</v>
      </c>
      <c r="K46" s="0" t="n">
        <v>15</v>
      </c>
      <c r="L46" s="0" t="n">
        <v>7.61</v>
      </c>
      <c r="M46" s="1" t="n">
        <f aca="false">K46*L46/100</f>
        <v>1.1415</v>
      </c>
      <c r="N46" s="1" t="n">
        <f aca="false">100 * (((K46)/(100)) - ((100-K46)/(L46*100-100)))</f>
        <v>2.14069591527988</v>
      </c>
      <c r="Q46" s="0" t="n">
        <v>17</v>
      </c>
      <c r="R46" s="0" t="s">
        <v>60</v>
      </c>
      <c r="S46" s="0" t="s">
        <v>68</v>
      </c>
      <c r="T46" s="0" t="n">
        <v>3</v>
      </c>
      <c r="U46" s="0" t="n">
        <v>34.75</v>
      </c>
      <c r="V46" s="1" t="n">
        <f aca="false">T46*U46/100</f>
        <v>1.0425</v>
      </c>
      <c r="W46" s="1" t="n">
        <f aca="false">100 * (((T46)/(100)) - ((100-T46)/(U46*100-100)))</f>
        <v>0.125925925925926</v>
      </c>
      <c r="X46" s="1" t="n">
        <f aca="false">W46*U46</f>
        <v>4.37592592592592</v>
      </c>
      <c r="Y46" s="1" t="n">
        <f aca="false">X46*T46/100</f>
        <v>0.131277777777778</v>
      </c>
      <c r="Z46" s="1" t="n">
        <v>100</v>
      </c>
      <c r="AA46" s="1" t="n">
        <f aca="false">W46*U46+Z46</f>
        <v>104.375925925926</v>
      </c>
      <c r="AB46" s="1" t="n">
        <f aca="false">Z46-W46</f>
        <v>99.8740740740741</v>
      </c>
      <c r="AC46" s="1" t="n">
        <f aca="false">(AA46*T46/100) + (AB46*(100-T46)/100)</f>
        <v>100.00912962963</v>
      </c>
    </row>
    <row r="47" customFormat="false" ht="12.8" hidden="false" customHeight="false" outlineLevel="0" collapsed="false">
      <c r="A47" s="0" t="n">
        <v>45</v>
      </c>
      <c r="B47" s="0" t="s">
        <v>58</v>
      </c>
      <c r="C47" s="0" t="s">
        <v>117</v>
      </c>
      <c r="D47" s="0" t="n">
        <v>2</v>
      </c>
      <c r="E47" s="0" t="n">
        <v>12.95</v>
      </c>
      <c r="F47" s="1" t="n">
        <f aca="false">D47*E47/100</f>
        <v>0.259</v>
      </c>
      <c r="H47" s="0" t="n">
        <v>116</v>
      </c>
      <c r="I47" s="0" t="s">
        <v>81</v>
      </c>
      <c r="J47" s="0" t="n">
        <v>0</v>
      </c>
      <c r="K47" s="0" t="n">
        <v>34</v>
      </c>
      <c r="L47" s="0" t="n">
        <v>3.04</v>
      </c>
      <c r="M47" s="1" t="n">
        <f aca="false">K47*L47/100</f>
        <v>1.0336</v>
      </c>
      <c r="N47" s="1" t="n">
        <f aca="false">100 * (((K47)/(100)) - ((100-K47)/(L47*100-100)))</f>
        <v>1.64705882352941</v>
      </c>
      <c r="Q47" s="0" t="n">
        <v>208</v>
      </c>
      <c r="R47" s="0" t="s">
        <v>78</v>
      </c>
      <c r="S47" s="0" t="s">
        <v>118</v>
      </c>
      <c r="T47" s="0" t="n">
        <v>3</v>
      </c>
      <c r="U47" s="0" t="n">
        <v>34.75</v>
      </c>
      <c r="V47" s="1" t="n">
        <f aca="false">T47*U47/100</f>
        <v>1.0425</v>
      </c>
      <c r="W47" s="1" t="n">
        <f aca="false">100 * (((T47)/(100)) - ((100-T47)/(U47*100-100)))</f>
        <v>0.125925925925926</v>
      </c>
      <c r="X47" s="1" t="n">
        <f aca="false">W47*U47</f>
        <v>4.37592592592592</v>
      </c>
      <c r="Y47" s="1" t="n">
        <f aca="false">X47*T47/100</f>
        <v>0.131277777777778</v>
      </c>
      <c r="Z47" s="1" t="n">
        <v>100</v>
      </c>
      <c r="AA47" s="1" t="n">
        <f aca="false">W47*U47+Z47</f>
        <v>104.375925925926</v>
      </c>
      <c r="AB47" s="1" t="n">
        <f aca="false">Z47-W47</f>
        <v>99.8740740740741</v>
      </c>
      <c r="AC47" s="1" t="n">
        <f aca="false">(AA47*T47/100) + (AB47*(100-T47)/100)</f>
        <v>100.00912962963</v>
      </c>
    </row>
    <row r="48" customFormat="false" ht="12.8" hidden="false" customHeight="false" outlineLevel="0" collapsed="false">
      <c r="A48" s="0" t="n">
        <v>46</v>
      </c>
      <c r="B48" s="0" t="s">
        <v>58</v>
      </c>
      <c r="C48" s="0" t="s">
        <v>119</v>
      </c>
      <c r="D48" s="0" t="n">
        <v>14</v>
      </c>
      <c r="E48" s="0" t="n">
        <v>5.05</v>
      </c>
      <c r="F48" s="1" t="n">
        <f aca="false">D48*E48/100</f>
        <v>0.707</v>
      </c>
      <c r="H48" s="0" t="n">
        <v>68</v>
      </c>
      <c r="I48" s="0" t="s">
        <v>23</v>
      </c>
      <c r="J48" s="0" t="s">
        <v>98</v>
      </c>
      <c r="K48" s="0" t="n">
        <v>36</v>
      </c>
      <c r="L48" s="0" t="n">
        <v>2.84</v>
      </c>
      <c r="M48" s="1" t="n">
        <f aca="false">K48*L48/100</f>
        <v>1.0224</v>
      </c>
      <c r="N48" s="1" t="n">
        <f aca="false">100 * (((K48)/(100)) - ((100-K48)/(L48*100-100)))</f>
        <v>1.21739130434783</v>
      </c>
      <c r="Q48" s="0" t="n">
        <v>190</v>
      </c>
      <c r="R48" s="0" t="s">
        <v>78</v>
      </c>
      <c r="S48" s="0" t="s">
        <v>120</v>
      </c>
      <c r="T48" s="0" t="n">
        <v>2</v>
      </c>
      <c r="U48" s="0" t="n">
        <v>51.25</v>
      </c>
      <c r="V48" s="1" t="n">
        <f aca="false">T48*U48/100</f>
        <v>1.025</v>
      </c>
      <c r="W48" s="1" t="n">
        <f aca="false">100 * (((T48)/(100)) - ((100-T48)/(U48*100-100)))</f>
        <v>0.0497512437810946</v>
      </c>
      <c r="X48" s="1" t="n">
        <f aca="false">W48*U48</f>
        <v>2.5497512437811</v>
      </c>
      <c r="Y48" s="1" t="n">
        <f aca="false">X48*T48/100</f>
        <v>0.0509950248756219</v>
      </c>
      <c r="Z48" s="1" t="n">
        <v>100</v>
      </c>
      <c r="AA48" s="1" t="n">
        <f aca="false">W48*U48+Z48</f>
        <v>102.549751243781</v>
      </c>
      <c r="AB48" s="1" t="n">
        <f aca="false">Z48-W48</f>
        <v>99.9502487562189</v>
      </c>
      <c r="AC48" s="1" t="n">
        <f aca="false">(AA48*T48/100) + (AB48*(100-T48)/100)</f>
        <v>100.00223880597</v>
      </c>
    </row>
    <row r="49" customFormat="false" ht="12.8" hidden="false" customHeight="false" outlineLevel="0" collapsed="false">
      <c r="A49" s="0" t="n">
        <v>47</v>
      </c>
      <c r="B49" s="0" t="s">
        <v>63</v>
      </c>
      <c r="C49" s="0" t="s">
        <v>121</v>
      </c>
      <c r="D49" s="0" t="n">
        <v>31</v>
      </c>
      <c r="E49" s="0" t="n">
        <v>2.96</v>
      </c>
      <c r="F49" s="1" t="n">
        <f aca="false">D49*E49/100</f>
        <v>0.9176</v>
      </c>
      <c r="H49" s="0" t="n">
        <v>172</v>
      </c>
      <c r="I49" s="0" t="s">
        <v>99</v>
      </c>
      <c r="J49" s="0" t="s">
        <v>100</v>
      </c>
      <c r="K49" s="0" t="n">
        <v>5</v>
      </c>
      <c r="L49" s="0" t="n">
        <v>25.75</v>
      </c>
      <c r="M49" s="1" t="n">
        <f aca="false">K49*L49/100</f>
        <v>1.2875</v>
      </c>
      <c r="N49" s="1" t="n">
        <f aca="false">100 * (((K49)/(100)) - ((100-K49)/(L49*100-100)))</f>
        <v>1.16161616161616</v>
      </c>
      <c r="Q49" s="0" t="n">
        <v>202</v>
      </c>
      <c r="R49" s="0" t="s">
        <v>78</v>
      </c>
      <c r="S49" s="0" t="s">
        <v>122</v>
      </c>
      <c r="T49" s="0" t="n">
        <v>2</v>
      </c>
      <c r="U49" s="0" t="n">
        <v>51.25</v>
      </c>
      <c r="V49" s="1" t="n">
        <f aca="false">T49*U49/100</f>
        <v>1.025</v>
      </c>
      <c r="W49" s="1" t="n">
        <f aca="false">100 * (((T49)/(100)) - ((100-T49)/(U49*100-100)))</f>
        <v>0.0497512437810946</v>
      </c>
      <c r="X49" s="1" t="n">
        <f aca="false">W49*U49</f>
        <v>2.5497512437811</v>
      </c>
      <c r="Y49" s="1" t="n">
        <f aca="false">X49*T49/100</f>
        <v>0.0509950248756219</v>
      </c>
      <c r="Z49" s="1" t="n">
        <v>100</v>
      </c>
      <c r="AA49" s="1" t="n">
        <f aca="false">W49*U49+Z49</f>
        <v>102.549751243781</v>
      </c>
      <c r="AB49" s="1" t="n">
        <f aca="false">Z49-W49</f>
        <v>99.9502487562189</v>
      </c>
      <c r="AC49" s="1" t="n">
        <f aca="false">(AA49*T49/100) + (AB49*(100-T49)/100)</f>
        <v>100.00223880597</v>
      </c>
    </row>
    <row r="50" customFormat="false" ht="12.8" hidden="false" customHeight="false" outlineLevel="0" collapsed="false">
      <c r="A50" s="0" t="n">
        <v>48</v>
      </c>
      <c r="B50" s="0" t="s">
        <v>63</v>
      </c>
      <c r="C50" s="0" t="s">
        <v>64</v>
      </c>
      <c r="D50" s="0" t="n">
        <v>32</v>
      </c>
      <c r="E50" s="0" t="n">
        <v>3.88</v>
      </c>
      <c r="F50" s="1" t="n">
        <f aca="false">D50*E50/100</f>
        <v>1.2416</v>
      </c>
      <c r="H50" s="0" t="n">
        <v>123</v>
      </c>
      <c r="I50" s="0" t="s">
        <v>89</v>
      </c>
      <c r="J50" s="0" t="s">
        <v>108</v>
      </c>
      <c r="K50" s="0" t="n">
        <v>12</v>
      </c>
      <c r="L50" s="0" t="n">
        <v>9</v>
      </c>
      <c r="M50" s="1" t="n">
        <f aca="false">K50*L50/100</f>
        <v>1.08</v>
      </c>
      <c r="N50" s="1" t="n">
        <f aca="false">100 * (((K50)/(100)) - ((100-K50)/(L50*100-100)))</f>
        <v>1</v>
      </c>
      <c r="V50" s="1"/>
      <c r="W50" s="1"/>
      <c r="X50" s="1"/>
      <c r="Y50" s="1"/>
    </row>
    <row r="51" customFormat="false" ht="12.8" hidden="false" customHeight="false" outlineLevel="0" collapsed="false">
      <c r="A51" s="0" t="n">
        <v>49</v>
      </c>
      <c r="B51" s="0" t="s">
        <v>63</v>
      </c>
      <c r="C51" s="0" t="s">
        <v>123</v>
      </c>
      <c r="D51" s="0" t="n">
        <v>19</v>
      </c>
      <c r="E51" s="0" t="n">
        <v>3.63</v>
      </c>
      <c r="F51" s="1" t="n">
        <f aca="false">D51*E51/100</f>
        <v>0.6897</v>
      </c>
      <c r="H51" s="0" t="n">
        <v>87</v>
      </c>
      <c r="I51" s="0" t="s">
        <v>96</v>
      </c>
      <c r="J51" s="0" t="s">
        <v>97</v>
      </c>
      <c r="K51" s="0" t="n">
        <v>50</v>
      </c>
      <c r="L51" s="0" t="n">
        <v>2.02</v>
      </c>
      <c r="M51" s="1" t="n">
        <f aca="false">K51*L51/100</f>
        <v>1.01</v>
      </c>
      <c r="N51" s="1" t="n">
        <f aca="false">100 * (((K51)/(100)) - ((100-K51)/(L51*100-100)))</f>
        <v>0.980392156862747</v>
      </c>
      <c r="V51" s="1"/>
      <c r="W51" s="1"/>
      <c r="X51" s="1"/>
      <c r="Y51" s="1"/>
    </row>
    <row r="52" customFormat="false" ht="12.8" hidden="false" customHeight="false" outlineLevel="0" collapsed="false">
      <c r="A52" s="0" t="n">
        <v>50</v>
      </c>
      <c r="B52" s="0" t="s">
        <v>63</v>
      </c>
      <c r="C52" s="0" t="s">
        <v>124</v>
      </c>
      <c r="D52" s="0" t="n">
        <v>10</v>
      </c>
      <c r="E52" s="0" t="n">
        <v>7.71</v>
      </c>
      <c r="F52" s="1" t="n">
        <f aca="false">D52*E52/100</f>
        <v>0.771</v>
      </c>
      <c r="H52" s="0" t="n">
        <v>211</v>
      </c>
      <c r="I52" s="0" t="s">
        <v>78</v>
      </c>
      <c r="J52" s="0" t="s">
        <v>91</v>
      </c>
      <c r="K52" s="0" t="n">
        <v>2</v>
      </c>
      <c r="L52" s="0" t="n">
        <v>86.25</v>
      </c>
      <c r="M52" s="1" t="n">
        <f aca="false">K52*L52/100</f>
        <v>1.725</v>
      </c>
      <c r="N52" s="1" t="n">
        <f aca="false">100 * (((K52)/(100)) - ((100-K52)/(L52*100-100)))</f>
        <v>0.850439882697947</v>
      </c>
      <c r="V52" s="1"/>
      <c r="W52" s="1"/>
    </row>
    <row r="53" customFormat="false" ht="12.8" hidden="false" customHeight="false" outlineLevel="0" collapsed="false">
      <c r="A53" s="0" t="n">
        <v>51</v>
      </c>
      <c r="B53" s="0" t="s">
        <v>63</v>
      </c>
      <c r="C53" s="0" t="s">
        <v>125</v>
      </c>
      <c r="D53" s="0" t="n">
        <v>2</v>
      </c>
      <c r="E53" s="0" t="n">
        <v>12.9</v>
      </c>
      <c r="F53" s="1" t="n">
        <f aca="false">D53*E53/100</f>
        <v>0.258</v>
      </c>
      <c r="H53" s="0" t="n">
        <v>216</v>
      </c>
      <c r="I53" s="0" t="s">
        <v>78</v>
      </c>
      <c r="J53" s="0" t="s">
        <v>92</v>
      </c>
      <c r="K53" s="0" t="n">
        <v>2</v>
      </c>
      <c r="L53" s="0" t="n">
        <v>86.25</v>
      </c>
      <c r="M53" s="1" t="n">
        <f aca="false">K53*L53/100</f>
        <v>1.725</v>
      </c>
      <c r="N53" s="1" t="n">
        <f aca="false">100 * (((K53)/(100)) - ((100-K53)/(L53*100-100)))</f>
        <v>0.850439882697947</v>
      </c>
      <c r="V53" s="1"/>
      <c r="W53" s="1"/>
    </row>
    <row r="54" customFormat="false" ht="12.8" hidden="false" customHeight="false" outlineLevel="0" collapsed="false">
      <c r="A54" s="0" t="n">
        <v>52</v>
      </c>
      <c r="B54" s="0" t="s">
        <v>63</v>
      </c>
      <c r="C54" s="0" t="s">
        <v>126</v>
      </c>
      <c r="D54" s="0" t="n">
        <v>6</v>
      </c>
      <c r="E54" s="0" t="n">
        <v>10.9</v>
      </c>
      <c r="F54" s="1" t="n">
        <f aca="false">D54*E54/100</f>
        <v>0.654</v>
      </c>
      <c r="H54" s="0" t="n">
        <v>200</v>
      </c>
      <c r="I54" s="0" t="s">
        <v>78</v>
      </c>
      <c r="J54" s="0" t="s">
        <v>104</v>
      </c>
      <c r="K54" s="0" t="n">
        <v>3</v>
      </c>
      <c r="L54" s="0" t="n">
        <v>43.25</v>
      </c>
      <c r="M54" s="1" t="n">
        <f aca="false">K54*L54/100</f>
        <v>1.2975</v>
      </c>
      <c r="N54" s="1" t="n">
        <f aca="false">100 * (((K54)/(100)) - ((100-K54)/(L54*100-100)))</f>
        <v>0.704142011834319</v>
      </c>
      <c r="V54" s="1"/>
      <c r="W54" s="1"/>
    </row>
    <row r="55" customFormat="false" ht="12.8" hidden="false" customHeight="false" outlineLevel="0" collapsed="false">
      <c r="A55" s="0" t="n">
        <v>53</v>
      </c>
      <c r="B55" s="0" t="s">
        <v>75</v>
      </c>
      <c r="C55" s="0" t="s">
        <v>127</v>
      </c>
      <c r="D55" s="0" t="n">
        <v>37</v>
      </c>
      <c r="E55" s="0" t="n">
        <v>2.58</v>
      </c>
      <c r="F55" s="1" t="n">
        <f aca="false">D55*E55/100</f>
        <v>0.9546</v>
      </c>
      <c r="H55" s="0" t="n">
        <v>203</v>
      </c>
      <c r="I55" s="0" t="s">
        <v>78</v>
      </c>
      <c r="J55" s="0" t="s">
        <v>106</v>
      </c>
      <c r="K55" s="0" t="n">
        <v>2</v>
      </c>
      <c r="L55" s="0" t="n">
        <v>69.25</v>
      </c>
      <c r="M55" s="1" t="n">
        <f aca="false">K55*L55/100</f>
        <v>1.385</v>
      </c>
      <c r="N55" s="1" t="n">
        <f aca="false">100 * (((K55)/(100)) - ((100-K55)/(L55*100-100)))</f>
        <v>0.564102564102564</v>
      </c>
      <c r="V55" s="1"/>
      <c r="W55" s="1"/>
    </row>
    <row r="56" customFormat="false" ht="12.8" hidden="false" customHeight="false" outlineLevel="0" collapsed="false">
      <c r="A56" s="0" t="n">
        <v>54</v>
      </c>
      <c r="B56" s="0" t="s">
        <v>75</v>
      </c>
      <c r="C56" s="0" t="s">
        <v>76</v>
      </c>
      <c r="D56" s="0" t="n">
        <v>34</v>
      </c>
      <c r="E56" s="0" t="n">
        <v>3.18</v>
      </c>
      <c r="F56" s="1" t="n">
        <f aca="false">D56*E56/100</f>
        <v>1.0812</v>
      </c>
      <c r="H56" s="0" t="n">
        <v>21</v>
      </c>
      <c r="I56" s="0" t="s">
        <v>60</v>
      </c>
      <c r="J56" s="0" t="s">
        <v>77</v>
      </c>
      <c r="K56" s="0" t="n">
        <v>4</v>
      </c>
      <c r="L56" s="0" t="n">
        <v>28.75</v>
      </c>
      <c r="M56" s="1" t="n">
        <f aca="false">K56*L56/100</f>
        <v>1.15</v>
      </c>
      <c r="N56" s="1" t="n">
        <f aca="false">100 * (((K56)/(100)) - ((100-K56)/(L56*100-100)))</f>
        <v>0.540540540540541</v>
      </c>
      <c r="V56" s="1"/>
      <c r="W56" s="1"/>
    </row>
    <row r="57" customFormat="false" ht="12.8" hidden="false" customHeight="false" outlineLevel="0" collapsed="false">
      <c r="A57" s="0" t="n">
        <v>55</v>
      </c>
      <c r="B57" s="0" t="s">
        <v>75</v>
      </c>
      <c r="C57" s="0" t="s">
        <v>128</v>
      </c>
      <c r="D57" s="0" t="n">
        <v>23</v>
      </c>
      <c r="E57" s="0" t="n">
        <v>3.22</v>
      </c>
      <c r="F57" s="1" t="n">
        <f aca="false">D57*E57/100</f>
        <v>0.7406</v>
      </c>
      <c r="H57" s="0" t="n">
        <v>86</v>
      </c>
      <c r="I57" s="0" t="s">
        <v>96</v>
      </c>
      <c r="J57" s="0" t="s">
        <v>112</v>
      </c>
      <c r="K57" s="0" t="n">
        <v>32</v>
      </c>
      <c r="L57" s="0" t="n">
        <v>3.16</v>
      </c>
      <c r="M57" s="1" t="n">
        <f aca="false">K57*L57/100</f>
        <v>1.0112</v>
      </c>
      <c r="N57" s="1" t="n">
        <f aca="false">100 * (((K57)/(100)) - ((100-K57)/(L57*100-100)))</f>
        <v>0.518518518518518</v>
      </c>
      <c r="V57" s="1"/>
      <c r="W57" s="1"/>
    </row>
    <row r="58" customFormat="false" ht="12.8" hidden="false" customHeight="false" outlineLevel="0" collapsed="false">
      <c r="A58" s="0" t="n">
        <v>56</v>
      </c>
      <c r="B58" s="0" t="s">
        <v>75</v>
      </c>
      <c r="C58" s="0" t="s">
        <v>129</v>
      </c>
      <c r="D58" s="0" t="n">
        <v>4</v>
      </c>
      <c r="E58" s="0" t="n">
        <v>13.7</v>
      </c>
      <c r="F58" s="1" t="n">
        <f aca="false">D58*E58/100</f>
        <v>0.548</v>
      </c>
      <c r="H58" s="0" t="n">
        <v>165</v>
      </c>
      <c r="I58" s="0" t="s">
        <v>102</v>
      </c>
      <c r="J58" s="0" t="s">
        <v>103</v>
      </c>
      <c r="K58" s="0" t="n">
        <v>47</v>
      </c>
      <c r="L58" s="0" t="n">
        <v>2.14</v>
      </c>
      <c r="M58" s="1" t="n">
        <f aca="false">K58*L58/100</f>
        <v>1.0058</v>
      </c>
      <c r="N58" s="1" t="n">
        <f aca="false">100 * (((K58)/(100)) - ((100-K58)/(L58*100-100)))</f>
        <v>0.508771929824559</v>
      </c>
      <c r="V58" s="1"/>
      <c r="W58" s="1"/>
    </row>
    <row r="59" customFormat="false" ht="12.8" hidden="false" customHeight="false" outlineLevel="0" collapsed="false">
      <c r="A59" s="0" t="n">
        <v>57</v>
      </c>
      <c r="B59" s="0" t="s">
        <v>75</v>
      </c>
      <c r="C59" s="0" t="s">
        <v>130</v>
      </c>
      <c r="D59" s="0" t="n">
        <v>0</v>
      </c>
      <c r="E59" s="0" t="n">
        <v>34.75</v>
      </c>
      <c r="F59" s="1" t="n">
        <f aca="false">D59*E59/100</f>
        <v>0</v>
      </c>
      <c r="H59" s="0" t="n">
        <v>182</v>
      </c>
      <c r="I59" s="0" t="s">
        <v>78</v>
      </c>
      <c r="J59" s="0" t="s">
        <v>115</v>
      </c>
      <c r="K59" s="0" t="n">
        <v>7</v>
      </c>
      <c r="L59" s="0" t="n">
        <v>14.85</v>
      </c>
      <c r="M59" s="1" t="n">
        <f aca="false">K59*L59/100</f>
        <v>1.0395</v>
      </c>
      <c r="N59" s="1" t="n">
        <f aca="false">100 * (((K59)/(100)) - ((100-K59)/(L59*100-100)))</f>
        <v>0.28519855595668</v>
      </c>
      <c r="V59" s="1"/>
      <c r="W59" s="1"/>
    </row>
    <row r="60" customFormat="false" ht="12.8" hidden="false" customHeight="false" outlineLevel="0" collapsed="false">
      <c r="A60" s="0" t="n">
        <v>58</v>
      </c>
      <c r="B60" s="0" t="s">
        <v>75</v>
      </c>
      <c r="C60" s="0" t="s">
        <v>131</v>
      </c>
      <c r="D60" s="0" t="n">
        <v>2</v>
      </c>
      <c r="E60" s="0" t="n">
        <v>19.05</v>
      </c>
      <c r="F60" s="1" t="n">
        <f aca="false">D60*E60/100</f>
        <v>0.381</v>
      </c>
      <c r="H60" s="0" t="n">
        <v>63</v>
      </c>
      <c r="I60" s="0" t="s">
        <v>32</v>
      </c>
      <c r="J60" s="0" t="s">
        <v>110</v>
      </c>
      <c r="K60" s="0" t="n">
        <v>71</v>
      </c>
      <c r="L60" s="0" t="n">
        <v>1.41</v>
      </c>
      <c r="M60" s="1" t="n">
        <f aca="false">K60*L60/100</f>
        <v>1.0011</v>
      </c>
      <c r="N60" s="1" t="n">
        <f aca="false">100 * (((K60)/(100)) - ((100-K60)/(L60*100-100)))</f>
        <v>0.268292682926829</v>
      </c>
      <c r="V60" s="1"/>
      <c r="W60" s="1"/>
    </row>
    <row r="61" customFormat="false" ht="12.8" hidden="false" customHeight="false" outlineLevel="0" collapsed="false">
      <c r="A61" s="0" t="n">
        <v>59</v>
      </c>
      <c r="B61" s="0" t="s">
        <v>49</v>
      </c>
      <c r="C61" s="0" t="s">
        <v>28</v>
      </c>
      <c r="D61" s="0" t="n">
        <v>75</v>
      </c>
      <c r="E61" s="0" t="n">
        <v>1.38</v>
      </c>
      <c r="F61" s="1" t="n">
        <f aca="false">D61*E61/100</f>
        <v>1.035</v>
      </c>
      <c r="H61" s="0" t="n">
        <v>17</v>
      </c>
      <c r="I61" s="0" t="s">
        <v>60</v>
      </c>
      <c r="J61" s="0" t="s">
        <v>68</v>
      </c>
      <c r="K61" s="0" t="n">
        <v>3</v>
      </c>
      <c r="L61" s="0" t="n">
        <v>34.75</v>
      </c>
      <c r="M61" s="1" t="n">
        <f aca="false">K61*L61/100</f>
        <v>1.0425</v>
      </c>
      <c r="N61" s="1" t="n">
        <f aca="false">100 * (((K61)/(100)) - ((100-K61)/(L61*100-100)))</f>
        <v>0.125925925925926</v>
      </c>
      <c r="V61" s="1"/>
      <c r="W61" s="1"/>
    </row>
    <row r="62" customFormat="false" ht="12.8" hidden="false" customHeight="false" outlineLevel="0" collapsed="false">
      <c r="A62" s="0" t="n">
        <v>60</v>
      </c>
      <c r="B62" s="0" t="s">
        <v>49</v>
      </c>
      <c r="C62" s="0" t="s">
        <v>132</v>
      </c>
      <c r="D62" s="0" t="n">
        <v>66</v>
      </c>
      <c r="E62" s="0" t="n">
        <v>1.35</v>
      </c>
      <c r="F62" s="1" t="n">
        <f aca="false">D62*E62/100</f>
        <v>0.891</v>
      </c>
      <c r="H62" s="0" t="n">
        <v>208</v>
      </c>
      <c r="I62" s="0" t="s">
        <v>78</v>
      </c>
      <c r="J62" s="0" t="s">
        <v>118</v>
      </c>
      <c r="K62" s="0" t="n">
        <v>3</v>
      </c>
      <c r="L62" s="0" t="n">
        <v>34.75</v>
      </c>
      <c r="M62" s="1" t="n">
        <f aca="false">K62*L62/100</f>
        <v>1.0425</v>
      </c>
      <c r="N62" s="1" t="n">
        <f aca="false">100 * (((K62)/(100)) - ((100-K62)/(L62*100-100)))</f>
        <v>0.125925925925926</v>
      </c>
      <c r="V62" s="1"/>
      <c r="W62" s="1"/>
    </row>
    <row r="63" customFormat="false" ht="12.8" hidden="false" customHeight="false" outlineLevel="0" collapsed="false">
      <c r="A63" s="0" t="n">
        <v>61</v>
      </c>
      <c r="B63" s="0" t="s">
        <v>49</v>
      </c>
      <c r="C63" s="0" t="s">
        <v>133</v>
      </c>
      <c r="D63" s="0" t="n">
        <v>59</v>
      </c>
      <c r="E63" s="0" t="n">
        <v>1.5</v>
      </c>
      <c r="F63" s="1" t="n">
        <f aca="false">D63*E63/100</f>
        <v>0.885</v>
      </c>
      <c r="H63" s="0" t="n">
        <v>33</v>
      </c>
      <c r="I63" s="0" t="s">
        <v>95</v>
      </c>
      <c r="J63" s="0" t="n">
        <v>0</v>
      </c>
      <c r="K63" s="0" t="n">
        <v>47</v>
      </c>
      <c r="L63" s="0" t="n">
        <v>2.13</v>
      </c>
      <c r="M63" s="1" t="n">
        <f aca="false">K63*L63/100</f>
        <v>1.0011</v>
      </c>
      <c r="N63" s="1" t="n">
        <f aca="false">100 * (((K63)/(100)) - ((100-K63)/(L63*100-100)))</f>
        <v>0.0973451327433594</v>
      </c>
      <c r="V63" s="1"/>
      <c r="W63" s="1"/>
    </row>
    <row r="64" customFormat="false" ht="12.8" hidden="false" customHeight="false" outlineLevel="0" collapsed="false">
      <c r="A64" s="0" t="n">
        <v>62</v>
      </c>
      <c r="B64" s="0" t="s">
        <v>32</v>
      </c>
      <c r="C64" s="0" t="s">
        <v>98</v>
      </c>
      <c r="D64" s="0" t="n">
        <v>29</v>
      </c>
      <c r="E64" s="0" t="n">
        <v>3.34</v>
      </c>
      <c r="F64" s="1" t="n">
        <f aca="false">D64*E64/100</f>
        <v>0.9686</v>
      </c>
      <c r="H64" s="0" t="n">
        <v>190</v>
      </c>
      <c r="I64" s="0" t="s">
        <v>78</v>
      </c>
      <c r="J64" s="0" t="s">
        <v>120</v>
      </c>
      <c r="K64" s="0" t="n">
        <v>2</v>
      </c>
      <c r="L64" s="0" t="n">
        <v>51.25</v>
      </c>
      <c r="M64" s="1" t="n">
        <f aca="false">K64*L64/100</f>
        <v>1.025</v>
      </c>
      <c r="N64" s="1" t="n">
        <f aca="false">100 * (((K64)/(100)) - ((100-K64)/(L64*100-100)))</f>
        <v>0.0497512437810946</v>
      </c>
      <c r="V64" s="1"/>
      <c r="W64" s="1"/>
    </row>
    <row r="65" customFormat="false" ht="12.8" hidden="false" customHeight="false" outlineLevel="0" collapsed="false">
      <c r="A65" s="0" t="n">
        <v>63</v>
      </c>
      <c r="B65" s="0" t="s">
        <v>32</v>
      </c>
      <c r="C65" s="0" t="s">
        <v>110</v>
      </c>
      <c r="D65" s="0" t="n">
        <v>71</v>
      </c>
      <c r="E65" s="0" t="n">
        <v>1.41</v>
      </c>
      <c r="F65" s="1" t="n">
        <f aca="false">D65*E65/100</f>
        <v>1.0011</v>
      </c>
      <c r="H65" s="0" t="n">
        <v>202</v>
      </c>
      <c r="I65" s="0" t="s">
        <v>78</v>
      </c>
      <c r="J65" s="0" t="s">
        <v>122</v>
      </c>
      <c r="K65" s="0" t="n">
        <v>2</v>
      </c>
      <c r="L65" s="0" t="n">
        <v>51.25</v>
      </c>
      <c r="M65" s="1" t="n">
        <f aca="false">K65*L65/100</f>
        <v>1.025</v>
      </c>
      <c r="N65" s="1" t="n">
        <f aca="false">100 * (((K65)/(100)) - ((100-K65)/(L65*100-100)))</f>
        <v>0.0497512437810946</v>
      </c>
      <c r="V65" s="1"/>
      <c r="W65" s="1"/>
    </row>
    <row r="66" customFormat="false" ht="12.8" hidden="false" customHeight="false" outlineLevel="0" collapsed="false">
      <c r="A66" s="0" t="n">
        <v>64</v>
      </c>
      <c r="B66" s="0" t="s">
        <v>32</v>
      </c>
      <c r="C66" s="0" t="s">
        <v>24</v>
      </c>
      <c r="D66" s="0" t="n">
        <v>65</v>
      </c>
      <c r="E66" s="0" t="n">
        <v>1.65</v>
      </c>
      <c r="F66" s="1" t="n">
        <f aca="false">D66*E66/100</f>
        <v>1.0725</v>
      </c>
      <c r="H66" s="0" t="n">
        <v>198</v>
      </c>
      <c r="I66" s="0" t="s">
        <v>78</v>
      </c>
      <c r="J66" s="0" t="s">
        <v>134</v>
      </c>
      <c r="K66" s="0" t="n">
        <v>5</v>
      </c>
      <c r="L66" s="0" t="n">
        <v>19.95</v>
      </c>
      <c r="M66" s="1" t="n">
        <f aca="false">K66*L66/100</f>
        <v>0.9975</v>
      </c>
      <c r="N66" s="1" t="n">
        <f aca="false">100 * (((K66)/(100)) - ((100-K66)/(L66*100-100)))</f>
        <v>-0.0131926121372028</v>
      </c>
      <c r="V66" s="1"/>
      <c r="W66" s="1"/>
    </row>
    <row r="67" customFormat="false" ht="12.8" hidden="false" customHeight="false" outlineLevel="0" collapsed="false">
      <c r="A67" s="0" t="n">
        <v>65</v>
      </c>
      <c r="B67" s="0" t="s">
        <v>32</v>
      </c>
      <c r="C67" s="0" t="s">
        <v>135</v>
      </c>
      <c r="D67" s="0" t="n">
        <v>35</v>
      </c>
      <c r="E67" s="0" t="n">
        <v>2.36</v>
      </c>
      <c r="F67" s="1" t="n">
        <f aca="false">D67*E67/100</f>
        <v>0.826</v>
      </c>
      <c r="H67" s="0" t="n">
        <v>126</v>
      </c>
      <c r="I67" s="0" t="s">
        <v>89</v>
      </c>
      <c r="J67" s="0" t="s">
        <v>136</v>
      </c>
      <c r="K67" s="0" t="n">
        <v>6</v>
      </c>
      <c r="L67" s="0" t="n">
        <v>16.6</v>
      </c>
      <c r="M67" s="1" t="n">
        <f aca="false">K67*L67/100</f>
        <v>0.996</v>
      </c>
      <c r="N67" s="1" t="n">
        <f aca="false">100 * (((K67)/(100)) - ((100-K67)/(L67*100-100)))</f>
        <v>-0.0256410256410253</v>
      </c>
      <c r="V67" s="1"/>
      <c r="W67" s="1"/>
    </row>
    <row r="68" customFormat="false" ht="12.8" hidden="false" customHeight="false" outlineLevel="0" collapsed="false">
      <c r="A68" s="0" t="n">
        <v>66</v>
      </c>
      <c r="B68" s="0" t="s">
        <v>32</v>
      </c>
      <c r="C68" s="0" t="s">
        <v>33</v>
      </c>
      <c r="D68" s="0" t="n">
        <v>90</v>
      </c>
      <c r="E68" s="0" t="n">
        <v>0</v>
      </c>
      <c r="F68" s="1" t="n">
        <f aca="false">D68*E68/100</f>
        <v>0</v>
      </c>
      <c r="H68" s="0" t="n">
        <v>209</v>
      </c>
      <c r="I68" s="0" t="s">
        <v>78</v>
      </c>
      <c r="J68" s="0" t="s">
        <v>137</v>
      </c>
      <c r="K68" s="0" t="n">
        <v>6</v>
      </c>
      <c r="L68" s="0" t="n">
        <v>16.55</v>
      </c>
      <c r="M68" s="1" t="n">
        <f aca="false">K68*L68/100</f>
        <v>0.993</v>
      </c>
      <c r="N68" s="1" t="n">
        <f aca="false">100 * (((K68)/(100)) - ((100-K68)/(L68*100-100)))</f>
        <v>-0.0450160771704185</v>
      </c>
      <c r="V68" s="1"/>
      <c r="W68" s="1"/>
    </row>
    <row r="69" customFormat="false" ht="12.8" hidden="false" customHeight="false" outlineLevel="0" collapsed="false">
      <c r="A69" s="0" t="n">
        <v>67</v>
      </c>
      <c r="B69" s="0" t="s">
        <v>32</v>
      </c>
      <c r="C69" s="0" t="s">
        <v>138</v>
      </c>
      <c r="D69" s="0" t="n">
        <v>10</v>
      </c>
      <c r="E69" s="0" t="n">
        <v>5</v>
      </c>
      <c r="F69" s="1" t="n">
        <f aca="false">D69*E69/100</f>
        <v>0.5</v>
      </c>
      <c r="H69" s="0" t="n">
        <v>115</v>
      </c>
      <c r="I69" s="0" t="s">
        <v>81</v>
      </c>
      <c r="J69" s="0" t="s">
        <v>139</v>
      </c>
      <c r="K69" s="0" t="n">
        <v>5</v>
      </c>
      <c r="L69" s="0" t="n">
        <v>19.25</v>
      </c>
      <c r="M69" s="1" t="n">
        <f aca="false">K69*L69/100</f>
        <v>0.9625</v>
      </c>
      <c r="N69" s="1" t="n">
        <f aca="false">100 * (((K69)/(100)) - ((100-K69)/(L69*100-100)))</f>
        <v>-0.205479452054794</v>
      </c>
      <c r="V69" s="1"/>
      <c r="W69" s="1"/>
    </row>
    <row r="70" customFormat="false" ht="12.8" hidden="false" customHeight="false" outlineLevel="0" collapsed="false">
      <c r="A70" s="0" t="n">
        <v>68</v>
      </c>
      <c r="B70" s="0" t="s">
        <v>23</v>
      </c>
      <c r="C70" s="0" t="s">
        <v>98</v>
      </c>
      <c r="D70" s="0" t="n">
        <v>36</v>
      </c>
      <c r="E70" s="0" t="n">
        <v>2.84</v>
      </c>
      <c r="F70" s="1" t="n">
        <f aca="false">D70*E70/100</f>
        <v>1.0224</v>
      </c>
      <c r="H70" s="0" t="n">
        <v>141</v>
      </c>
      <c r="I70" s="0" t="s">
        <v>89</v>
      </c>
      <c r="J70" s="0" t="s">
        <v>140</v>
      </c>
      <c r="K70" s="0" t="n">
        <v>3</v>
      </c>
      <c r="L70" s="0" t="n">
        <v>30.75</v>
      </c>
      <c r="M70" s="1" t="n">
        <f aca="false">K70*L70/100</f>
        <v>0.9225</v>
      </c>
      <c r="N70" s="1" t="n">
        <f aca="false">100 * (((K70)/(100)) - ((100-K70)/(L70*100-100)))</f>
        <v>-0.260504201680672</v>
      </c>
      <c r="V70" s="1"/>
      <c r="W70" s="1"/>
    </row>
    <row r="71" customFormat="false" ht="12.8" hidden="false" customHeight="false" outlineLevel="0" collapsed="false">
      <c r="A71" s="0" t="n">
        <v>69</v>
      </c>
      <c r="B71" s="0" t="s">
        <v>23</v>
      </c>
      <c r="C71" s="0" t="s">
        <v>110</v>
      </c>
      <c r="D71" s="0" t="n">
        <v>64</v>
      </c>
      <c r="E71" s="0" t="n">
        <v>1.5</v>
      </c>
      <c r="F71" s="1" t="n">
        <f aca="false">D71*E71/100</f>
        <v>0.96</v>
      </c>
      <c r="H71" s="0" t="n">
        <v>197</v>
      </c>
      <c r="I71" s="0" t="s">
        <v>78</v>
      </c>
      <c r="J71" s="0" t="s">
        <v>141</v>
      </c>
      <c r="K71" s="0" t="n">
        <v>1</v>
      </c>
      <c r="L71" s="0" t="n">
        <v>77.25</v>
      </c>
      <c r="M71" s="1" t="n">
        <f aca="false">K71*L71/100</f>
        <v>0.7725</v>
      </c>
      <c r="N71" s="1" t="n">
        <f aca="false">100 * (((K71)/(100)) - ((100-K71)/(L71*100-100)))</f>
        <v>-0.298360655737705</v>
      </c>
      <c r="V71" s="1"/>
      <c r="W71" s="1"/>
    </row>
    <row r="72" customFormat="false" ht="12.8" hidden="false" customHeight="false" outlineLevel="0" collapsed="false">
      <c r="A72" s="0" t="n">
        <v>70</v>
      </c>
      <c r="B72" s="0" t="s">
        <v>23</v>
      </c>
      <c r="C72" s="0" t="s">
        <v>24</v>
      </c>
      <c r="D72" s="0" t="n">
        <v>78</v>
      </c>
      <c r="E72" s="0" t="n">
        <v>1.5</v>
      </c>
      <c r="F72" s="1" t="n">
        <f aca="false">D72*E72/100</f>
        <v>1.17</v>
      </c>
      <c r="H72" s="0" t="n">
        <v>145</v>
      </c>
      <c r="I72" s="0" t="s">
        <v>89</v>
      </c>
      <c r="J72" s="0" t="s">
        <v>142</v>
      </c>
      <c r="K72" s="0" t="n">
        <v>1</v>
      </c>
      <c r="L72" s="0" t="n">
        <v>76.25</v>
      </c>
      <c r="M72" s="1" t="n">
        <f aca="false">K72*L72/100</f>
        <v>0.7625</v>
      </c>
      <c r="N72" s="1" t="n">
        <f aca="false">100 * (((K72)/(100)) - ((100-K72)/(L72*100-100)))</f>
        <v>-0.315614617940199</v>
      </c>
      <c r="V72" s="1"/>
      <c r="W72" s="1"/>
    </row>
    <row r="73" customFormat="false" ht="12.8" hidden="false" customHeight="false" outlineLevel="0" collapsed="false">
      <c r="A73" s="0" t="n">
        <v>71</v>
      </c>
      <c r="B73" s="0" t="s">
        <v>23</v>
      </c>
      <c r="C73" s="0" t="s">
        <v>135</v>
      </c>
      <c r="D73" s="0" t="n">
        <v>22</v>
      </c>
      <c r="E73" s="0" t="n">
        <v>2.78</v>
      </c>
      <c r="F73" s="1" t="n">
        <f aca="false">D73*E73/100</f>
        <v>0.6116</v>
      </c>
      <c r="H73" s="0" t="n">
        <v>217</v>
      </c>
      <c r="I73" s="0" t="s">
        <v>78</v>
      </c>
      <c r="J73" s="0" t="s">
        <v>143</v>
      </c>
      <c r="K73" s="0" t="n">
        <v>3</v>
      </c>
      <c r="L73" s="0" t="n">
        <v>30.25</v>
      </c>
      <c r="M73" s="1" t="n">
        <f aca="false">K73*L73/100</f>
        <v>0.9075</v>
      </c>
      <c r="N73" s="1" t="n">
        <f aca="false">100 * (((K73)/(100)) - ((100-K73)/(L73*100-100)))</f>
        <v>-0.316239316239316</v>
      </c>
      <c r="V73" s="1"/>
      <c r="W73" s="1"/>
    </row>
    <row r="74" customFormat="false" ht="12.8" hidden="false" customHeight="false" outlineLevel="0" collapsed="false">
      <c r="A74" s="0" t="n">
        <v>72</v>
      </c>
      <c r="B74" s="0" t="s">
        <v>23</v>
      </c>
      <c r="C74" s="0" t="s">
        <v>33</v>
      </c>
      <c r="D74" s="0" t="n">
        <v>90</v>
      </c>
      <c r="E74" s="0" t="n">
        <v>0</v>
      </c>
      <c r="F74" s="1" t="n">
        <f aca="false">D74*E74/100</f>
        <v>0</v>
      </c>
      <c r="H74" s="0" t="n">
        <v>150</v>
      </c>
      <c r="I74" s="0" t="s">
        <v>89</v>
      </c>
      <c r="J74" s="0" t="s">
        <v>144</v>
      </c>
      <c r="K74" s="0" t="n">
        <v>2</v>
      </c>
      <c r="L74" s="0" t="n">
        <v>42.75</v>
      </c>
      <c r="M74" s="1" t="n">
        <f aca="false">K74*L74/100</f>
        <v>0.855</v>
      </c>
      <c r="N74" s="1" t="n">
        <f aca="false">100 * (((K74)/(100)) - ((100-K74)/(L74*100-100)))</f>
        <v>-0.347305389221557</v>
      </c>
      <c r="V74" s="1"/>
      <c r="W74" s="1"/>
    </row>
    <row r="75" customFormat="false" ht="12.8" hidden="false" customHeight="false" outlineLevel="0" collapsed="false">
      <c r="A75" s="0" t="n">
        <v>73</v>
      </c>
      <c r="B75" s="0" t="s">
        <v>23</v>
      </c>
      <c r="C75" s="0" t="s">
        <v>138</v>
      </c>
      <c r="D75" s="0" t="n">
        <v>10</v>
      </c>
      <c r="E75" s="0" t="n">
        <v>6.43</v>
      </c>
      <c r="F75" s="1" t="n">
        <f aca="false">D75*E75/100</f>
        <v>0.643</v>
      </c>
      <c r="H75" s="0" t="n">
        <v>142</v>
      </c>
      <c r="I75" s="0" t="s">
        <v>89</v>
      </c>
      <c r="J75" s="0" t="s">
        <v>145</v>
      </c>
      <c r="K75" s="0" t="n">
        <v>4</v>
      </c>
      <c r="L75" s="0" t="n">
        <v>22.55</v>
      </c>
      <c r="M75" s="1" t="n">
        <f aca="false">K75*L75/100</f>
        <v>0.902</v>
      </c>
      <c r="N75" s="1" t="n">
        <f aca="false">100 * (((K75)/(100)) - ((100-K75)/(L75*100-100)))</f>
        <v>-0.45475638051044</v>
      </c>
      <c r="V75" s="1"/>
      <c r="W75" s="1"/>
    </row>
    <row r="76" customFormat="false" ht="12.8" hidden="false" customHeight="false" outlineLevel="0" collapsed="false">
      <c r="A76" s="0" t="n">
        <v>74</v>
      </c>
      <c r="B76" s="0" t="s">
        <v>37</v>
      </c>
      <c r="C76" s="0" t="s">
        <v>146</v>
      </c>
      <c r="D76" s="0" t="n">
        <v>19</v>
      </c>
      <c r="E76" s="0" t="n">
        <v>3.66</v>
      </c>
      <c r="F76" s="1" t="n">
        <f aca="false">D76*E76/100</f>
        <v>0.6954</v>
      </c>
      <c r="H76" s="0" t="n">
        <v>157</v>
      </c>
      <c r="I76" s="0" t="s">
        <v>147</v>
      </c>
      <c r="J76" s="0" t="s">
        <v>148</v>
      </c>
      <c r="K76" s="0" t="n">
        <v>5</v>
      </c>
      <c r="L76" s="0" t="n">
        <v>18.25</v>
      </c>
      <c r="M76" s="1" t="n">
        <f aca="false">K76*L76/100</f>
        <v>0.9125</v>
      </c>
      <c r="N76" s="1" t="n">
        <f aca="false">100 * (((K76)/(100)) - ((100-K76)/(L76*100-100)))</f>
        <v>-0.507246376811594</v>
      </c>
      <c r="V76" s="1"/>
      <c r="W76" s="1"/>
    </row>
    <row r="77" customFormat="false" ht="12.8" hidden="false" customHeight="false" outlineLevel="0" collapsed="false">
      <c r="A77" s="0" t="n">
        <v>75</v>
      </c>
      <c r="B77" s="0" t="s">
        <v>37</v>
      </c>
      <c r="C77" s="0" t="s">
        <v>149</v>
      </c>
      <c r="D77" s="0" t="n">
        <v>22</v>
      </c>
      <c r="E77" s="0" t="n">
        <v>3.25</v>
      </c>
      <c r="F77" s="1" t="n">
        <f aca="false">D77*E77/100</f>
        <v>0.715</v>
      </c>
      <c r="H77" s="0" t="n">
        <v>41</v>
      </c>
      <c r="I77" s="0" t="s">
        <v>58</v>
      </c>
      <c r="J77" s="0" t="s">
        <v>113</v>
      </c>
      <c r="K77" s="0" t="n">
        <v>21</v>
      </c>
      <c r="L77" s="0" t="n">
        <v>4.67</v>
      </c>
      <c r="M77" s="1" t="n">
        <f aca="false">K77*L77/100</f>
        <v>0.9807</v>
      </c>
      <c r="N77" s="1" t="n">
        <f aca="false">100 * (((K77)/(100)) - ((100-K77)/(L77*100-100)))</f>
        <v>-0.525885558583106</v>
      </c>
      <c r="V77" s="1"/>
      <c r="W77" s="1"/>
    </row>
    <row r="78" customFormat="false" ht="12.8" hidden="false" customHeight="false" outlineLevel="0" collapsed="false">
      <c r="A78" s="0" t="n">
        <v>76</v>
      </c>
      <c r="B78" s="0" t="s">
        <v>37</v>
      </c>
      <c r="C78" s="0" t="s">
        <v>150</v>
      </c>
      <c r="D78" s="0" t="n">
        <v>59</v>
      </c>
      <c r="E78" s="0" t="n">
        <v>1.54</v>
      </c>
      <c r="F78" s="1" t="n">
        <f aca="false">D78*E78/100</f>
        <v>0.9086</v>
      </c>
      <c r="H78" s="0" t="n">
        <v>169</v>
      </c>
      <c r="I78" s="0" t="s">
        <v>99</v>
      </c>
      <c r="J78" s="0" t="s">
        <v>151</v>
      </c>
      <c r="K78" s="0" t="n">
        <v>1</v>
      </c>
      <c r="L78" s="0" t="n">
        <v>64.25</v>
      </c>
      <c r="M78" s="1" t="n">
        <f aca="false">K78*L78/100</f>
        <v>0.6425</v>
      </c>
      <c r="N78" s="1" t="n">
        <f aca="false">100 * (((K78)/(100)) - ((100-K78)/(L78*100-100)))</f>
        <v>-0.565217391304348</v>
      </c>
      <c r="V78" s="1"/>
      <c r="W78" s="1"/>
    </row>
    <row r="79" customFormat="false" ht="12.8" hidden="false" customHeight="false" outlineLevel="0" collapsed="false">
      <c r="A79" s="0" t="n">
        <v>77</v>
      </c>
      <c r="B79" s="0" t="s">
        <v>37</v>
      </c>
      <c r="C79" s="0" t="s">
        <v>52</v>
      </c>
      <c r="D79" s="0" t="n">
        <v>75</v>
      </c>
      <c r="E79" s="0" t="n">
        <v>1.38</v>
      </c>
      <c r="F79" s="1" t="n">
        <f aca="false">D79*E79/100</f>
        <v>1.035</v>
      </c>
      <c r="H79" s="0" t="n">
        <v>163</v>
      </c>
      <c r="I79" s="0" t="s">
        <v>102</v>
      </c>
      <c r="J79" s="0" t="s">
        <v>152</v>
      </c>
      <c r="K79" s="0" t="n">
        <v>17</v>
      </c>
      <c r="L79" s="0" t="n">
        <v>5.67</v>
      </c>
      <c r="M79" s="1" t="n">
        <f aca="false">K79*L79/100</f>
        <v>0.9639</v>
      </c>
      <c r="N79" s="1" t="n">
        <f aca="false">100 * (((K79)/(100)) - ((100-K79)/(L79*100-100)))</f>
        <v>-0.773019271948608</v>
      </c>
      <c r="V79" s="1"/>
      <c r="W79" s="1"/>
    </row>
    <row r="80" customFormat="false" ht="12.8" hidden="false" customHeight="false" outlineLevel="0" collapsed="false">
      <c r="A80" s="0" t="n">
        <v>78</v>
      </c>
      <c r="B80" s="0" t="s">
        <v>37</v>
      </c>
      <c r="C80" s="0" t="s">
        <v>153</v>
      </c>
      <c r="D80" s="0" t="n">
        <v>13</v>
      </c>
      <c r="E80" s="0" t="n">
        <v>3.53</v>
      </c>
      <c r="F80" s="1" t="n">
        <f aca="false">D80*E80/100</f>
        <v>0.4589</v>
      </c>
      <c r="H80" s="0" t="n">
        <v>131</v>
      </c>
      <c r="I80" s="0" t="s">
        <v>89</v>
      </c>
      <c r="J80" s="0" t="s">
        <v>154</v>
      </c>
      <c r="K80" s="0" t="n">
        <v>0</v>
      </c>
      <c r="L80" s="0" t="n">
        <v>130.25</v>
      </c>
      <c r="M80" s="1" t="n">
        <f aca="false">K80*L80/100</f>
        <v>0</v>
      </c>
      <c r="N80" s="1" t="n">
        <f aca="false">100 * (((K80)/(100)) - ((100-K80)/(L80*100-100)))</f>
        <v>-0.773694390715667</v>
      </c>
      <c r="V80" s="1"/>
      <c r="W80" s="1"/>
    </row>
    <row r="81" customFormat="false" ht="12.8" hidden="false" customHeight="false" outlineLevel="0" collapsed="false">
      <c r="A81" s="0" t="n">
        <v>79</v>
      </c>
      <c r="B81" s="0" t="s">
        <v>37</v>
      </c>
      <c r="C81" s="0" t="s">
        <v>155</v>
      </c>
      <c r="D81" s="0" t="n">
        <v>12</v>
      </c>
      <c r="E81" s="0" t="n">
        <v>4.84</v>
      </c>
      <c r="F81" s="1" t="n">
        <f aca="false">D81*E81/100</f>
        <v>0.5808</v>
      </c>
      <c r="H81" s="0" t="n">
        <v>132</v>
      </c>
      <c r="I81" s="0" t="s">
        <v>89</v>
      </c>
      <c r="J81" s="0" t="s">
        <v>156</v>
      </c>
      <c r="K81" s="0" t="n">
        <v>0</v>
      </c>
      <c r="L81" s="0" t="n">
        <v>130.25</v>
      </c>
      <c r="M81" s="1" t="n">
        <f aca="false">K81*L81/100</f>
        <v>0</v>
      </c>
      <c r="N81" s="1" t="n">
        <f aca="false">100 * (((K81)/(100)) - ((100-K81)/(L81*100-100)))</f>
        <v>-0.773694390715667</v>
      </c>
      <c r="V81" s="1"/>
      <c r="W81" s="1"/>
    </row>
    <row r="82" customFormat="false" ht="12.8" hidden="false" customHeight="false" outlineLevel="0" collapsed="false">
      <c r="A82" s="0" t="n">
        <v>80</v>
      </c>
      <c r="B82" s="0" t="s">
        <v>37</v>
      </c>
      <c r="C82" s="0" t="s">
        <v>38</v>
      </c>
      <c r="D82" s="0" t="n">
        <v>88</v>
      </c>
      <c r="E82" s="0" t="n">
        <v>0</v>
      </c>
      <c r="F82" s="1" t="n">
        <f aca="false">D82*E82/100</f>
        <v>0</v>
      </c>
      <c r="H82" s="0" t="n">
        <v>133</v>
      </c>
      <c r="I82" s="0" t="s">
        <v>89</v>
      </c>
      <c r="J82" s="0" t="s">
        <v>157</v>
      </c>
      <c r="K82" s="0" t="n">
        <v>0</v>
      </c>
      <c r="L82" s="0" t="n">
        <v>130.25</v>
      </c>
      <c r="M82" s="1" t="n">
        <f aca="false">K82*L82/100</f>
        <v>0</v>
      </c>
      <c r="N82" s="1" t="n">
        <f aca="false">100 * (((K82)/(100)) - ((100-K82)/(L82*100-100)))</f>
        <v>-0.773694390715667</v>
      </c>
      <c r="V82" s="1"/>
      <c r="W82" s="1"/>
    </row>
    <row r="83" customFormat="false" ht="12.8" hidden="false" customHeight="false" outlineLevel="0" collapsed="false">
      <c r="A83" s="0" t="n">
        <v>81</v>
      </c>
      <c r="B83" s="0" t="s">
        <v>37</v>
      </c>
      <c r="C83" s="0" t="s">
        <v>41</v>
      </c>
      <c r="D83" s="0" t="n">
        <v>7</v>
      </c>
      <c r="E83" s="0" t="n">
        <v>0</v>
      </c>
      <c r="F83" s="1" t="n">
        <f aca="false">D83*E83/100</f>
        <v>0</v>
      </c>
      <c r="H83" s="0" t="n">
        <v>147</v>
      </c>
      <c r="I83" s="0" t="s">
        <v>89</v>
      </c>
      <c r="J83" s="0" t="s">
        <v>158</v>
      </c>
      <c r="K83" s="0" t="n">
        <v>0</v>
      </c>
      <c r="L83" s="0" t="n">
        <v>130.25</v>
      </c>
      <c r="M83" s="1" t="n">
        <f aca="false">K83*L83/100</f>
        <v>0</v>
      </c>
      <c r="N83" s="1" t="n">
        <f aca="false">100 * (((K83)/(100)) - ((100-K83)/(L83*100-100)))</f>
        <v>-0.773694390715667</v>
      </c>
      <c r="V83" s="1"/>
      <c r="W83" s="1"/>
    </row>
    <row r="84" customFormat="false" ht="12.8" hidden="false" customHeight="false" outlineLevel="0" collapsed="false">
      <c r="A84" s="0" t="n">
        <v>82</v>
      </c>
      <c r="B84" s="0" t="s">
        <v>37</v>
      </c>
      <c r="C84" s="0" t="s">
        <v>44</v>
      </c>
      <c r="D84" s="0" t="n">
        <v>5</v>
      </c>
      <c r="E84" s="0" t="n">
        <v>0</v>
      </c>
      <c r="F84" s="1" t="n">
        <f aca="false">D84*E84/100</f>
        <v>0</v>
      </c>
      <c r="H84" s="0" t="n">
        <v>148</v>
      </c>
      <c r="I84" s="0" t="s">
        <v>89</v>
      </c>
      <c r="J84" s="0" t="s">
        <v>159</v>
      </c>
      <c r="K84" s="0" t="n">
        <v>0</v>
      </c>
      <c r="L84" s="0" t="n">
        <v>130.25</v>
      </c>
      <c r="M84" s="1" t="n">
        <f aca="false">K84*L84/100</f>
        <v>0</v>
      </c>
      <c r="N84" s="1" t="n">
        <f aca="false">100 * (((K84)/(100)) - ((100-K84)/(L84*100-100)))</f>
        <v>-0.773694390715667</v>
      </c>
      <c r="V84" s="1"/>
      <c r="W84" s="1"/>
    </row>
    <row r="85" customFormat="false" ht="12.8" hidden="false" customHeight="false" outlineLevel="0" collapsed="false">
      <c r="A85" s="0" t="n">
        <v>83</v>
      </c>
      <c r="B85" s="0" t="s">
        <v>37</v>
      </c>
      <c r="C85" s="0" t="s">
        <v>160</v>
      </c>
      <c r="D85" s="0" t="n">
        <v>1</v>
      </c>
      <c r="E85" s="0" t="n">
        <v>6.99</v>
      </c>
      <c r="F85" s="1" t="n">
        <f aca="false">D85*E85/100</f>
        <v>0.0699</v>
      </c>
      <c r="H85" s="0" t="n">
        <v>149</v>
      </c>
      <c r="I85" s="0" t="s">
        <v>89</v>
      </c>
      <c r="J85" s="0" t="s">
        <v>161</v>
      </c>
      <c r="K85" s="0" t="n">
        <v>0</v>
      </c>
      <c r="L85" s="0" t="n">
        <v>130.25</v>
      </c>
      <c r="M85" s="1" t="n">
        <f aca="false">K85*L85/100</f>
        <v>0</v>
      </c>
      <c r="N85" s="1" t="n">
        <f aca="false">100 * (((K85)/(100)) - ((100-K85)/(L85*100-100)))</f>
        <v>-0.773694390715667</v>
      </c>
      <c r="V85" s="1"/>
      <c r="W85" s="1"/>
    </row>
    <row r="86" customFormat="false" ht="12.8" hidden="false" customHeight="false" outlineLevel="0" collapsed="false">
      <c r="A86" s="0" t="n">
        <v>84</v>
      </c>
      <c r="B86" s="0" t="s">
        <v>37</v>
      </c>
      <c r="C86" s="0" t="s">
        <v>162</v>
      </c>
      <c r="D86" s="0" t="n">
        <v>18</v>
      </c>
      <c r="E86" s="0" t="n">
        <v>4.32</v>
      </c>
      <c r="F86" s="1" t="n">
        <f aca="false">D86*E86/100</f>
        <v>0.7776</v>
      </c>
      <c r="H86" s="0" t="n">
        <v>188</v>
      </c>
      <c r="I86" s="0" t="s">
        <v>78</v>
      </c>
      <c r="J86" s="0" t="s">
        <v>163</v>
      </c>
      <c r="K86" s="0" t="n">
        <v>6</v>
      </c>
      <c r="L86" s="0" t="n">
        <v>14.85</v>
      </c>
      <c r="M86" s="1" t="n">
        <f aca="false">K86*L86/100</f>
        <v>0.891</v>
      </c>
      <c r="N86" s="1" t="n">
        <f aca="false">100 * (((K86)/(100)) - ((100-K86)/(L86*100-100)))</f>
        <v>-0.787003610108304</v>
      </c>
      <c r="V86" s="1"/>
      <c r="W86" s="1"/>
    </row>
    <row r="87" customFormat="false" ht="12.8" hidden="false" customHeight="false" outlineLevel="0" collapsed="false">
      <c r="A87" s="0" t="n">
        <v>85</v>
      </c>
      <c r="B87" s="0" t="s">
        <v>37</v>
      </c>
      <c r="C87" s="0" t="s">
        <v>46</v>
      </c>
      <c r="D87" s="0" t="n">
        <v>81</v>
      </c>
      <c r="E87" s="0" t="n">
        <v>0</v>
      </c>
      <c r="F87" s="1" t="n">
        <f aca="false">D87*E87/100</f>
        <v>0</v>
      </c>
      <c r="H87" s="0" t="n">
        <v>199</v>
      </c>
      <c r="I87" s="0" t="s">
        <v>78</v>
      </c>
      <c r="J87" s="0" t="s">
        <v>164</v>
      </c>
      <c r="K87" s="0" t="n">
        <v>2</v>
      </c>
      <c r="L87" s="0" t="n">
        <v>34.75</v>
      </c>
      <c r="M87" s="1" t="n">
        <f aca="false">K87*L87/100</f>
        <v>0.695</v>
      </c>
      <c r="N87" s="1" t="n">
        <f aca="false">100 * (((K87)/(100)) - ((100-K87)/(L87*100-100)))</f>
        <v>-0.903703703703704</v>
      </c>
      <c r="V87" s="1"/>
      <c r="W87" s="1"/>
    </row>
    <row r="88" customFormat="false" ht="12.8" hidden="false" customHeight="false" outlineLevel="0" collapsed="false">
      <c r="A88" s="0" t="n">
        <v>86</v>
      </c>
      <c r="B88" s="0" t="s">
        <v>96</v>
      </c>
      <c r="C88" s="0" t="s">
        <v>112</v>
      </c>
      <c r="D88" s="0" t="n">
        <v>32</v>
      </c>
      <c r="E88" s="0" t="n">
        <v>3.16</v>
      </c>
      <c r="F88" s="1" t="n">
        <f aca="false">D88*E88/100</f>
        <v>1.0112</v>
      </c>
      <c r="H88" s="0" t="n">
        <v>219</v>
      </c>
      <c r="I88" s="0" t="s">
        <v>78</v>
      </c>
      <c r="J88" s="0" t="s">
        <v>165</v>
      </c>
      <c r="K88" s="0" t="n">
        <v>2</v>
      </c>
      <c r="L88" s="0" t="n">
        <v>34.75</v>
      </c>
      <c r="M88" s="1" t="n">
        <f aca="false">K88*L88/100</f>
        <v>0.695</v>
      </c>
      <c r="N88" s="1" t="n">
        <f aca="false">100 * (((K88)/(100)) - ((100-K88)/(L88*100-100)))</f>
        <v>-0.903703703703704</v>
      </c>
      <c r="V88" s="1"/>
      <c r="W88" s="1"/>
    </row>
    <row r="89" customFormat="false" ht="12.8" hidden="false" customHeight="false" outlineLevel="0" collapsed="false">
      <c r="A89" s="0" t="n">
        <v>87</v>
      </c>
      <c r="B89" s="0" t="s">
        <v>96</v>
      </c>
      <c r="C89" s="0" t="s">
        <v>97</v>
      </c>
      <c r="D89" s="0" t="n">
        <v>50</v>
      </c>
      <c r="E89" s="0" t="n">
        <v>2.02</v>
      </c>
      <c r="F89" s="1" t="n">
        <f aca="false">D89*E89/100</f>
        <v>1.01</v>
      </c>
      <c r="H89" s="0" t="n">
        <v>146</v>
      </c>
      <c r="I89" s="0" t="s">
        <v>89</v>
      </c>
      <c r="J89" s="0" t="s">
        <v>166</v>
      </c>
      <c r="K89" s="0" t="n">
        <v>0</v>
      </c>
      <c r="L89" s="0" t="n">
        <v>110.25</v>
      </c>
      <c r="M89" s="1" t="n">
        <f aca="false">K89*L89/100</f>
        <v>0</v>
      </c>
      <c r="N89" s="1" t="n">
        <f aca="false">100 * (((K89)/(100)) - ((100-K89)/(L89*100-100)))</f>
        <v>-0.91533180778032</v>
      </c>
      <c r="V89" s="1"/>
      <c r="W89" s="1"/>
    </row>
    <row r="90" customFormat="false" ht="12.8" hidden="false" customHeight="false" outlineLevel="0" collapsed="false">
      <c r="A90" s="0" t="n">
        <v>88</v>
      </c>
      <c r="B90" s="0" t="s">
        <v>96</v>
      </c>
      <c r="C90" s="0" t="s">
        <v>167</v>
      </c>
      <c r="D90" s="0" t="n">
        <v>16</v>
      </c>
      <c r="E90" s="0" t="n">
        <v>4.26</v>
      </c>
      <c r="F90" s="1" t="n">
        <f aca="false">D90*E90/100</f>
        <v>0.6816</v>
      </c>
      <c r="H90" s="0" t="n">
        <v>223</v>
      </c>
      <c r="I90" s="0" t="s">
        <v>168</v>
      </c>
      <c r="J90" s="0" t="s">
        <v>169</v>
      </c>
      <c r="K90" s="0" t="n">
        <v>46</v>
      </c>
      <c r="L90" s="0" t="n">
        <v>2.15</v>
      </c>
      <c r="M90" s="1" t="n">
        <f aca="false">K90*L90/100</f>
        <v>0.989</v>
      </c>
      <c r="N90" s="1" t="n">
        <f aca="false">100 * (((K90)/(100)) - ((100-K90)/(L90*100-100)))</f>
        <v>-0.956521739130434</v>
      </c>
      <c r="V90" s="1"/>
      <c r="W90" s="1"/>
    </row>
    <row r="91" customFormat="false" ht="12.8" hidden="false" customHeight="false" outlineLevel="0" collapsed="false">
      <c r="A91" s="0" t="n">
        <v>89</v>
      </c>
      <c r="B91" s="0" t="s">
        <v>96</v>
      </c>
      <c r="C91" s="0" t="s">
        <v>170</v>
      </c>
      <c r="D91" s="0" t="n">
        <v>2</v>
      </c>
      <c r="E91" s="0" t="n">
        <v>18.85</v>
      </c>
      <c r="F91" s="1" t="n">
        <f aca="false">D91*E91/100</f>
        <v>0.377</v>
      </c>
      <c r="H91" s="0" t="n">
        <v>144</v>
      </c>
      <c r="I91" s="0" t="s">
        <v>89</v>
      </c>
      <c r="J91" s="0" t="s">
        <v>171</v>
      </c>
      <c r="K91" s="0" t="n">
        <v>0</v>
      </c>
      <c r="L91" s="0" t="n">
        <v>105.25</v>
      </c>
      <c r="M91" s="1" t="n">
        <f aca="false">K91*L91/100</f>
        <v>0</v>
      </c>
      <c r="N91" s="1" t="n">
        <f aca="false">100 * (((K91)/(100)) - ((100-K91)/(L91*100-100)))</f>
        <v>-0.959232613908873</v>
      </c>
      <c r="V91" s="1"/>
      <c r="W91" s="1"/>
    </row>
    <row r="92" customFormat="false" ht="12.8" hidden="false" customHeight="false" outlineLevel="0" collapsed="false">
      <c r="A92" s="0" t="n">
        <v>90</v>
      </c>
      <c r="B92" s="0" t="s">
        <v>35</v>
      </c>
      <c r="C92" s="0" t="n">
        <v>1</v>
      </c>
      <c r="D92" s="0" t="n">
        <v>24</v>
      </c>
      <c r="E92" s="0" t="n">
        <v>3.26</v>
      </c>
      <c r="F92" s="1" t="n">
        <f aca="false">D92*E92/100</f>
        <v>0.7824</v>
      </c>
      <c r="H92" s="0" t="n">
        <v>183</v>
      </c>
      <c r="I92" s="0" t="s">
        <v>78</v>
      </c>
      <c r="J92" s="0" t="s">
        <v>172</v>
      </c>
      <c r="K92" s="0" t="n">
        <v>1</v>
      </c>
      <c r="L92" s="0" t="n">
        <v>51.25</v>
      </c>
      <c r="M92" s="1" t="n">
        <f aca="false">K92*L92/100</f>
        <v>0.5125</v>
      </c>
      <c r="N92" s="1" t="n">
        <f aca="false">100 * (((K92)/(100)) - ((100-K92)/(L92*100-100)))</f>
        <v>-0.970149253731343</v>
      </c>
      <c r="V92" s="1"/>
      <c r="W92" s="1"/>
    </row>
    <row r="93" customFormat="false" ht="12.8" hidden="false" customHeight="false" outlineLevel="0" collapsed="false">
      <c r="A93" s="0" t="n">
        <v>91</v>
      </c>
      <c r="B93" s="0" t="s">
        <v>35</v>
      </c>
      <c r="C93" s="0" t="s">
        <v>36</v>
      </c>
      <c r="D93" s="0" t="n">
        <v>40</v>
      </c>
      <c r="E93" s="0" t="n">
        <v>3.32</v>
      </c>
      <c r="F93" s="1" t="n">
        <f aca="false">D93*E93/100</f>
        <v>1.328</v>
      </c>
      <c r="H93" s="0" t="n">
        <v>129</v>
      </c>
      <c r="I93" s="0" t="s">
        <v>89</v>
      </c>
      <c r="J93" s="0" t="s">
        <v>173</v>
      </c>
      <c r="K93" s="0" t="n">
        <v>1</v>
      </c>
      <c r="L93" s="0" t="n">
        <v>47.25</v>
      </c>
      <c r="M93" s="1" t="n">
        <f aca="false">K93*L93/100</f>
        <v>0.4725</v>
      </c>
      <c r="N93" s="1" t="n">
        <f aca="false">100 * (((K93)/(100)) - ((100-K93)/(L93*100-100)))</f>
        <v>-1.14054054054054</v>
      </c>
      <c r="V93" s="1"/>
      <c r="W93" s="1"/>
    </row>
    <row r="94" customFormat="false" ht="12.8" hidden="false" customHeight="false" outlineLevel="0" collapsed="false">
      <c r="A94" s="0" t="n">
        <v>92</v>
      </c>
      <c r="B94" s="0" t="s">
        <v>35</v>
      </c>
      <c r="C94" s="0" t="n">
        <v>2</v>
      </c>
      <c r="D94" s="0" t="n">
        <v>36</v>
      </c>
      <c r="E94" s="0" t="n">
        <v>2.13</v>
      </c>
      <c r="F94" s="1" t="n">
        <f aca="false">D94*E94/100</f>
        <v>0.7668</v>
      </c>
      <c r="H94" s="0" t="n">
        <v>5</v>
      </c>
      <c r="I94" s="0" t="s">
        <v>14</v>
      </c>
      <c r="J94" s="0" t="s">
        <v>31</v>
      </c>
      <c r="K94" s="0" t="n">
        <v>32</v>
      </c>
      <c r="L94" s="0" t="n">
        <v>3.05</v>
      </c>
      <c r="M94" s="1" t="n">
        <f aca="false">K94*L94/100</f>
        <v>0.976</v>
      </c>
      <c r="N94" s="1" t="n">
        <f aca="false">100 * (((K94)/(100)) - ((100-K94)/(L94*100-100)))</f>
        <v>-1.17073170731707</v>
      </c>
      <c r="V94" s="1"/>
      <c r="W94" s="1"/>
    </row>
    <row r="95" customFormat="false" ht="12.8" hidden="false" customHeight="false" outlineLevel="0" collapsed="false">
      <c r="A95" s="0" t="n">
        <v>93</v>
      </c>
      <c r="B95" s="0" t="s">
        <v>72</v>
      </c>
      <c r="C95" s="0" t="n">
        <v>1</v>
      </c>
      <c r="D95" s="0" t="n">
        <v>26</v>
      </c>
      <c r="E95" s="0" t="n">
        <v>3.56</v>
      </c>
      <c r="F95" s="1" t="n">
        <f aca="false">D95*E95/100</f>
        <v>0.9256</v>
      </c>
      <c r="H95" s="0" t="n">
        <v>180</v>
      </c>
      <c r="I95" s="0" t="s">
        <v>78</v>
      </c>
      <c r="J95" s="0" t="s">
        <v>174</v>
      </c>
      <c r="K95" s="0" t="n">
        <v>0</v>
      </c>
      <c r="L95" s="0" t="n">
        <v>86.25</v>
      </c>
      <c r="M95" s="1" t="n">
        <f aca="false">K95*L95/100</f>
        <v>0</v>
      </c>
      <c r="N95" s="1" t="n">
        <f aca="false">100 * (((K95)/(100)) - ((100-K95)/(L95*100-100)))</f>
        <v>-1.17302052785924</v>
      </c>
      <c r="V95" s="1"/>
      <c r="W95" s="1"/>
    </row>
    <row r="96" customFormat="false" ht="12.8" hidden="false" customHeight="false" outlineLevel="0" collapsed="false">
      <c r="A96" s="0" t="n">
        <v>94</v>
      </c>
      <c r="B96" s="0" t="s">
        <v>72</v>
      </c>
      <c r="C96" s="0" t="s">
        <v>36</v>
      </c>
      <c r="D96" s="0" t="n">
        <v>44</v>
      </c>
      <c r="E96" s="0" t="n">
        <v>2.44</v>
      </c>
      <c r="F96" s="1" t="n">
        <f aca="false">D96*E96/100</f>
        <v>1.0736</v>
      </c>
      <c r="H96" s="0" t="n">
        <v>186</v>
      </c>
      <c r="I96" s="0" t="s">
        <v>78</v>
      </c>
      <c r="J96" s="0" t="s">
        <v>175</v>
      </c>
      <c r="K96" s="0" t="n">
        <v>0</v>
      </c>
      <c r="L96" s="0" t="n">
        <v>86.25</v>
      </c>
      <c r="M96" s="1" t="n">
        <f aca="false">K96*L96/100</f>
        <v>0</v>
      </c>
      <c r="N96" s="1" t="n">
        <f aca="false">100 * (((K96)/(100)) - ((100-K96)/(L96*100-100)))</f>
        <v>-1.17302052785924</v>
      </c>
      <c r="V96" s="1"/>
      <c r="W96" s="1"/>
    </row>
    <row r="97" customFormat="false" ht="12.8" hidden="false" customHeight="false" outlineLevel="0" collapsed="false">
      <c r="A97" s="0" t="n">
        <v>95</v>
      </c>
      <c r="B97" s="0" t="s">
        <v>72</v>
      </c>
      <c r="C97" s="0" t="n">
        <v>2</v>
      </c>
      <c r="D97" s="0" t="n">
        <v>30</v>
      </c>
      <c r="E97" s="0" t="n">
        <v>2.56</v>
      </c>
      <c r="F97" s="1" t="n">
        <f aca="false">D97*E97/100</f>
        <v>0.768</v>
      </c>
      <c r="H97" s="0" t="n">
        <v>212</v>
      </c>
      <c r="I97" s="0" t="s">
        <v>78</v>
      </c>
      <c r="J97" s="0" t="s">
        <v>176</v>
      </c>
      <c r="K97" s="0" t="n">
        <v>0</v>
      </c>
      <c r="L97" s="0" t="n">
        <v>86.25</v>
      </c>
      <c r="M97" s="1" t="n">
        <f aca="false">K97*L97/100</f>
        <v>0</v>
      </c>
      <c r="N97" s="1" t="n">
        <f aca="false">100 * (((K97)/(100)) - ((100-K97)/(L97*100-100)))</f>
        <v>-1.17302052785924</v>
      </c>
      <c r="V97" s="1"/>
      <c r="W97" s="1"/>
    </row>
    <row r="98" customFormat="false" ht="12.8" hidden="false" customHeight="false" outlineLevel="0" collapsed="false">
      <c r="A98" s="0" t="n">
        <v>96</v>
      </c>
      <c r="B98" s="0" t="s">
        <v>177</v>
      </c>
      <c r="C98" s="0" t="n">
        <v>1</v>
      </c>
      <c r="D98" s="0" t="n">
        <v>24</v>
      </c>
      <c r="E98" s="0" t="n">
        <v>3.76</v>
      </c>
      <c r="F98" s="1" t="n">
        <f aca="false">D98*E98/100</f>
        <v>0.9024</v>
      </c>
      <c r="H98" s="0" t="n">
        <v>214</v>
      </c>
      <c r="I98" s="0" t="s">
        <v>78</v>
      </c>
      <c r="J98" s="0" t="s">
        <v>178</v>
      </c>
      <c r="K98" s="0" t="n">
        <v>0</v>
      </c>
      <c r="L98" s="0" t="n">
        <v>86.25</v>
      </c>
      <c r="M98" s="1" t="n">
        <f aca="false">K98*L98/100</f>
        <v>0</v>
      </c>
      <c r="N98" s="1" t="n">
        <f aca="false">100 * (((K98)/(100)) - ((100-K98)/(L98*100-100)))</f>
        <v>-1.17302052785924</v>
      </c>
      <c r="V98" s="1"/>
      <c r="W98" s="1"/>
    </row>
    <row r="99" customFormat="false" ht="12.8" hidden="false" customHeight="false" outlineLevel="0" collapsed="false">
      <c r="A99" s="0" t="n">
        <v>97</v>
      </c>
      <c r="B99" s="0" t="s">
        <v>177</v>
      </c>
      <c r="C99" s="0" t="s">
        <v>36</v>
      </c>
      <c r="D99" s="0" t="n">
        <v>43</v>
      </c>
      <c r="E99" s="0" t="n">
        <v>2.24</v>
      </c>
      <c r="F99" s="1" t="n">
        <f aca="false">D99*E99/100</f>
        <v>0.9632</v>
      </c>
      <c r="H99" s="0" t="n">
        <v>218</v>
      </c>
      <c r="I99" s="0" t="s">
        <v>78</v>
      </c>
      <c r="J99" s="0" t="s">
        <v>179</v>
      </c>
      <c r="K99" s="0" t="n">
        <v>0</v>
      </c>
      <c r="L99" s="0" t="n">
        <v>86.25</v>
      </c>
      <c r="M99" s="1" t="n">
        <f aca="false">K99*L99/100</f>
        <v>0</v>
      </c>
      <c r="N99" s="1" t="n">
        <f aca="false">100 * (((K99)/(100)) - ((100-K99)/(L99*100-100)))</f>
        <v>-1.17302052785924</v>
      </c>
      <c r="V99" s="1"/>
      <c r="W99" s="1"/>
    </row>
    <row r="100" customFormat="false" ht="12.8" hidden="false" customHeight="false" outlineLevel="0" collapsed="false">
      <c r="A100" s="0" t="n">
        <v>98</v>
      </c>
      <c r="B100" s="0" t="s">
        <v>177</v>
      </c>
      <c r="C100" s="0" t="n">
        <v>2</v>
      </c>
      <c r="D100" s="0" t="n">
        <v>33</v>
      </c>
      <c r="E100" s="0" t="n">
        <v>2.72</v>
      </c>
      <c r="F100" s="1" t="n">
        <f aca="false">D100*E100/100</f>
        <v>0.8976</v>
      </c>
      <c r="H100" s="0" t="n">
        <v>220</v>
      </c>
      <c r="I100" s="0" t="s">
        <v>78</v>
      </c>
      <c r="J100" s="0" t="s">
        <v>180</v>
      </c>
      <c r="K100" s="0" t="n">
        <v>0</v>
      </c>
      <c r="L100" s="0" t="n">
        <v>86.25</v>
      </c>
      <c r="M100" s="1" t="n">
        <f aca="false">K100*L100/100</f>
        <v>0</v>
      </c>
      <c r="N100" s="1" t="n">
        <f aca="false">100 * (((K100)/(100)) - ((100-K100)/(L100*100-100)))</f>
        <v>-1.17302052785924</v>
      </c>
      <c r="V100" s="1"/>
      <c r="W100" s="1"/>
    </row>
    <row r="101" customFormat="false" ht="12.8" hidden="false" customHeight="false" outlineLevel="0" collapsed="false">
      <c r="A101" s="0" t="n">
        <v>99</v>
      </c>
      <c r="B101" s="0" t="s">
        <v>39</v>
      </c>
      <c r="C101" s="0" t="s">
        <v>55</v>
      </c>
      <c r="D101" s="0" t="n">
        <v>21</v>
      </c>
      <c r="E101" s="0" t="n">
        <v>3.05</v>
      </c>
      <c r="F101" s="1" t="n">
        <f aca="false">D101*E101/100</f>
        <v>0.6405</v>
      </c>
      <c r="H101" s="0" t="n">
        <v>221</v>
      </c>
      <c r="I101" s="0" t="s">
        <v>78</v>
      </c>
      <c r="J101" s="0" t="s">
        <v>181</v>
      </c>
      <c r="K101" s="0" t="n">
        <v>0</v>
      </c>
      <c r="L101" s="0" t="n">
        <v>86.25</v>
      </c>
      <c r="M101" s="1" t="n">
        <f aca="false">K101*L101/100</f>
        <v>0</v>
      </c>
      <c r="N101" s="1" t="n">
        <f aca="false">100 * (((K101)/(100)) - ((100-K101)/(L101*100-100)))</f>
        <v>-1.17302052785924</v>
      </c>
      <c r="V101" s="1"/>
      <c r="W101" s="1"/>
    </row>
    <row r="102" customFormat="false" ht="12.8" hidden="false" customHeight="false" outlineLevel="0" collapsed="false">
      <c r="A102" s="0" t="n">
        <v>100</v>
      </c>
      <c r="B102" s="0" t="s">
        <v>39</v>
      </c>
      <c r="C102" s="0" t="s">
        <v>17</v>
      </c>
      <c r="D102" s="0" t="n">
        <v>79</v>
      </c>
      <c r="E102" s="0" t="n">
        <v>1.31</v>
      </c>
      <c r="F102" s="1" t="n">
        <f aca="false">D102*E102/100</f>
        <v>1.0349</v>
      </c>
      <c r="H102" s="0" t="n">
        <v>130</v>
      </c>
      <c r="I102" s="0" t="s">
        <v>89</v>
      </c>
      <c r="J102" s="0" t="s">
        <v>182</v>
      </c>
      <c r="K102" s="0" t="n">
        <v>0</v>
      </c>
      <c r="L102" s="0" t="n">
        <v>81.25</v>
      </c>
      <c r="M102" s="1" t="n">
        <f aca="false">K102*L102/100</f>
        <v>0</v>
      </c>
      <c r="N102" s="1" t="n">
        <f aca="false">100 * (((K102)/(100)) - ((100-K102)/(L102*100-100)))</f>
        <v>-1.24610591900312</v>
      </c>
      <c r="V102" s="1"/>
      <c r="W102" s="1"/>
    </row>
    <row r="103" customFormat="false" ht="12.8" hidden="false" customHeight="false" outlineLevel="0" collapsed="false">
      <c r="A103" s="0" t="n">
        <v>101</v>
      </c>
      <c r="B103" s="0" t="s">
        <v>48</v>
      </c>
      <c r="C103" s="0" t="s">
        <v>55</v>
      </c>
      <c r="D103" s="0" t="n">
        <v>14</v>
      </c>
      <c r="E103" s="0" t="n">
        <v>3.6</v>
      </c>
      <c r="F103" s="1" t="n">
        <f aca="false">D103*E103/100</f>
        <v>0.504</v>
      </c>
      <c r="H103" s="0" t="n">
        <v>189</v>
      </c>
      <c r="I103" s="0" t="s">
        <v>78</v>
      </c>
      <c r="J103" s="0" t="s">
        <v>183</v>
      </c>
      <c r="K103" s="0" t="n">
        <v>4</v>
      </c>
      <c r="L103" s="0" t="n">
        <v>19.1</v>
      </c>
      <c r="M103" s="1" t="n">
        <f aca="false">K103*L103/100</f>
        <v>0.764</v>
      </c>
      <c r="N103" s="1" t="n">
        <f aca="false">100 * (((K103)/(100)) - ((100-K103)/(L103*100-100)))</f>
        <v>-1.30386740331492</v>
      </c>
      <c r="V103" s="1"/>
      <c r="W103" s="1"/>
    </row>
    <row r="104" customFormat="false" ht="12.8" hidden="false" customHeight="false" outlineLevel="0" collapsed="false">
      <c r="A104" s="0" t="n">
        <v>102</v>
      </c>
      <c r="B104" s="0" t="s">
        <v>48</v>
      </c>
      <c r="C104" s="0" t="s">
        <v>17</v>
      </c>
      <c r="D104" s="0" t="n">
        <v>86</v>
      </c>
      <c r="E104" s="0" t="n">
        <v>0</v>
      </c>
      <c r="F104" s="1" t="n">
        <f aca="false">D104*E104/100</f>
        <v>0</v>
      </c>
      <c r="H104" s="0" t="n">
        <v>62</v>
      </c>
      <c r="I104" s="0" t="s">
        <v>32</v>
      </c>
      <c r="J104" s="0" t="s">
        <v>98</v>
      </c>
      <c r="K104" s="0" t="n">
        <v>29</v>
      </c>
      <c r="L104" s="0" t="n">
        <v>3.34</v>
      </c>
      <c r="M104" s="1" t="n">
        <f aca="false">K104*L104/100</f>
        <v>0.9686</v>
      </c>
      <c r="N104" s="1" t="n">
        <f aca="false">100 * (((K104)/(100)) - ((100-K104)/(L104*100-100)))</f>
        <v>-1.34188034188034</v>
      </c>
      <c r="V104" s="1"/>
      <c r="W104" s="1"/>
    </row>
    <row r="105" customFormat="false" ht="12.8" hidden="false" customHeight="false" outlineLevel="0" collapsed="false">
      <c r="A105" s="0" t="n">
        <v>103</v>
      </c>
      <c r="B105" s="0" t="s">
        <v>51</v>
      </c>
      <c r="C105" s="0" t="s">
        <v>55</v>
      </c>
      <c r="D105" s="0" t="n">
        <v>11</v>
      </c>
      <c r="E105" s="0" t="n">
        <v>6.77</v>
      </c>
      <c r="F105" s="1" t="n">
        <f aca="false">D105*E105/100</f>
        <v>0.7447</v>
      </c>
      <c r="H105" s="0" t="n">
        <v>175</v>
      </c>
      <c r="I105" s="0" t="s">
        <v>99</v>
      </c>
      <c r="J105" s="0" t="s">
        <v>184</v>
      </c>
      <c r="K105" s="0" t="n">
        <v>2</v>
      </c>
      <c r="L105" s="0" t="n">
        <v>30.25</v>
      </c>
      <c r="M105" s="1" t="n">
        <f aca="false">K105*L105/100</f>
        <v>0.605</v>
      </c>
      <c r="N105" s="1" t="n">
        <f aca="false">100 * (((K105)/(100)) - ((100-K105)/(L105*100-100)))</f>
        <v>-1.35042735042735</v>
      </c>
      <c r="V105" s="1"/>
      <c r="W105" s="1"/>
    </row>
    <row r="106" customFormat="false" ht="12.8" hidden="false" customHeight="false" outlineLevel="0" collapsed="false">
      <c r="A106" s="0" t="n">
        <v>104</v>
      </c>
      <c r="B106" s="0" t="s">
        <v>51</v>
      </c>
      <c r="C106" s="0" t="s">
        <v>17</v>
      </c>
      <c r="D106" s="0" t="n">
        <v>89</v>
      </c>
      <c r="E106" s="0" t="n">
        <v>0</v>
      </c>
      <c r="F106" s="1" t="n">
        <f aca="false">D106*E106/100</f>
        <v>0</v>
      </c>
      <c r="H106" s="0" t="n">
        <v>27</v>
      </c>
      <c r="I106" s="0" t="s">
        <v>29</v>
      </c>
      <c r="J106" s="0" t="s">
        <v>15</v>
      </c>
      <c r="K106" s="0" t="n">
        <v>64</v>
      </c>
      <c r="L106" s="0" t="n">
        <v>1.55</v>
      </c>
      <c r="M106" s="1" t="n">
        <f aca="false">K106*L106/100</f>
        <v>0.992</v>
      </c>
      <c r="N106" s="1" t="n">
        <f aca="false">100 * (((K106)/(100)) - ((100-K106)/(L106*100-100)))</f>
        <v>-1.45454545454545</v>
      </c>
      <c r="V106" s="1"/>
      <c r="W106" s="1"/>
    </row>
    <row r="107" customFormat="false" ht="12.8" hidden="false" customHeight="false" outlineLevel="0" collapsed="false">
      <c r="A107" s="0" t="n">
        <v>105</v>
      </c>
      <c r="B107" s="0" t="s">
        <v>53</v>
      </c>
      <c r="C107" s="0" t="s">
        <v>55</v>
      </c>
      <c r="D107" s="0" t="n">
        <v>8</v>
      </c>
      <c r="E107" s="0" t="n">
        <v>8.9</v>
      </c>
      <c r="F107" s="1" t="n">
        <f aca="false">D107*E107/100</f>
        <v>0.712</v>
      </c>
      <c r="H107" s="0" t="n">
        <v>210</v>
      </c>
      <c r="I107" s="0" t="s">
        <v>78</v>
      </c>
      <c r="J107" s="0" t="s">
        <v>185</v>
      </c>
      <c r="K107" s="0" t="n">
        <v>0</v>
      </c>
      <c r="L107" s="0" t="n">
        <v>69.25</v>
      </c>
      <c r="M107" s="1" t="n">
        <f aca="false">K107*L107/100</f>
        <v>0</v>
      </c>
      <c r="N107" s="1" t="n">
        <f aca="false">100 * (((K107)/(100)) - ((100-K107)/(L107*100-100)))</f>
        <v>-1.46520146520147</v>
      </c>
      <c r="V107" s="1"/>
      <c r="W107" s="1"/>
    </row>
    <row r="108" customFormat="false" ht="12.8" hidden="false" customHeight="false" outlineLevel="0" collapsed="false">
      <c r="A108" s="0" t="n">
        <v>106</v>
      </c>
      <c r="B108" s="0" t="s">
        <v>53</v>
      </c>
      <c r="C108" s="0" t="s">
        <v>17</v>
      </c>
      <c r="D108" s="0" t="n">
        <v>92</v>
      </c>
      <c r="E108" s="0" t="n">
        <v>0</v>
      </c>
      <c r="F108" s="1" t="n">
        <f aca="false">D108*E108/100</f>
        <v>0</v>
      </c>
      <c r="H108" s="0" t="n">
        <v>215</v>
      </c>
      <c r="I108" s="0" t="s">
        <v>78</v>
      </c>
      <c r="J108" s="0" t="s">
        <v>186</v>
      </c>
      <c r="K108" s="0" t="n">
        <v>0</v>
      </c>
      <c r="L108" s="0" t="n">
        <v>69.25</v>
      </c>
      <c r="M108" s="1" t="n">
        <f aca="false">K108*L108/100</f>
        <v>0</v>
      </c>
      <c r="N108" s="1" t="n">
        <f aca="false">100 * (((K108)/(100)) - ((100-K108)/(L108*100-100)))</f>
        <v>-1.46520146520147</v>
      </c>
      <c r="V108" s="1"/>
      <c r="W108" s="1"/>
    </row>
    <row r="109" customFormat="false" ht="12.8" hidden="false" customHeight="false" outlineLevel="0" collapsed="false">
      <c r="A109" s="0" t="n">
        <v>107</v>
      </c>
      <c r="B109" s="0" t="s">
        <v>27</v>
      </c>
      <c r="C109" s="0" t="s">
        <v>28</v>
      </c>
      <c r="D109" s="0" t="n">
        <v>79</v>
      </c>
      <c r="E109" s="0" t="n">
        <v>1.37</v>
      </c>
      <c r="F109" s="1" t="n">
        <f aca="false">D109*E109/100</f>
        <v>1.0823</v>
      </c>
      <c r="H109" s="0" t="n">
        <v>137</v>
      </c>
      <c r="I109" s="0" t="s">
        <v>89</v>
      </c>
      <c r="J109" s="0" t="s">
        <v>187</v>
      </c>
      <c r="K109" s="0" t="n">
        <v>0</v>
      </c>
      <c r="L109" s="0" t="n">
        <v>66.25</v>
      </c>
      <c r="M109" s="1" t="n">
        <f aca="false">K109*L109/100</f>
        <v>0</v>
      </c>
      <c r="N109" s="1" t="n">
        <f aca="false">100 * (((K109)/(100)) - ((100-K109)/(L109*100-100)))</f>
        <v>-1.53256704980843</v>
      </c>
      <c r="V109" s="1"/>
      <c r="W109" s="1"/>
    </row>
    <row r="110" customFormat="false" ht="12.8" hidden="false" customHeight="false" outlineLevel="0" collapsed="false">
      <c r="A110" s="0" t="n">
        <v>108</v>
      </c>
      <c r="B110" s="0" t="s">
        <v>27</v>
      </c>
      <c r="C110" s="0" t="s">
        <v>132</v>
      </c>
      <c r="D110" s="0" t="n">
        <v>53</v>
      </c>
      <c r="E110" s="0" t="n">
        <v>1.72</v>
      </c>
      <c r="F110" s="1" t="n">
        <f aca="false">D110*E110/100</f>
        <v>0.9116</v>
      </c>
      <c r="H110" s="0" t="n">
        <v>25</v>
      </c>
      <c r="I110" s="0" t="s">
        <v>84</v>
      </c>
      <c r="J110" s="0" t="s">
        <v>87</v>
      </c>
      <c r="K110" s="0" t="n">
        <v>50</v>
      </c>
      <c r="L110" s="0" t="n">
        <v>1.97</v>
      </c>
      <c r="M110" s="1" t="n">
        <f aca="false">K110*L110/100</f>
        <v>0.985</v>
      </c>
      <c r="N110" s="1" t="n">
        <f aca="false">100 * (((K110)/(100)) - ((100-K110)/(L110*100-100)))</f>
        <v>-1.54639175257731</v>
      </c>
      <c r="V110" s="1"/>
      <c r="W110" s="1"/>
    </row>
    <row r="111" customFormat="false" ht="12.8" hidden="false" customHeight="false" outlineLevel="0" collapsed="false">
      <c r="A111" s="0" t="n">
        <v>109</v>
      </c>
      <c r="B111" s="0" t="s">
        <v>27</v>
      </c>
      <c r="C111" s="0" t="s">
        <v>133</v>
      </c>
      <c r="D111" s="0" t="n">
        <v>68</v>
      </c>
      <c r="E111" s="0" t="n">
        <v>1.44</v>
      </c>
      <c r="F111" s="1" t="n">
        <f aca="false">D111*E111/100</f>
        <v>0.9792</v>
      </c>
      <c r="H111" s="0" t="n">
        <v>127</v>
      </c>
      <c r="I111" s="0" t="s">
        <v>89</v>
      </c>
      <c r="J111" s="0" t="s">
        <v>188</v>
      </c>
      <c r="K111" s="0" t="n">
        <v>2</v>
      </c>
      <c r="L111" s="0" t="n">
        <v>28.25</v>
      </c>
      <c r="M111" s="1" t="n">
        <f aca="false">K111*L111/100</f>
        <v>0.565</v>
      </c>
      <c r="N111" s="1" t="n">
        <f aca="false">100 * (((K111)/(100)) - ((100-K111)/(L111*100-100)))</f>
        <v>-1.59633027522936</v>
      </c>
      <c r="V111" s="1"/>
      <c r="W111" s="1"/>
    </row>
    <row r="112" customFormat="false" ht="12.8" hidden="false" customHeight="false" outlineLevel="0" collapsed="false">
      <c r="A112" s="0" t="n">
        <v>110</v>
      </c>
      <c r="B112" s="0" t="s">
        <v>81</v>
      </c>
      <c r="C112" s="0" t="s">
        <v>189</v>
      </c>
      <c r="D112" s="0" t="n">
        <v>1</v>
      </c>
      <c r="E112" s="0" t="n">
        <v>11.45</v>
      </c>
      <c r="F112" s="1" t="n">
        <f aca="false">D112*E112/100</f>
        <v>0.1145</v>
      </c>
      <c r="H112" s="0" t="n">
        <v>187</v>
      </c>
      <c r="I112" s="0" t="s">
        <v>78</v>
      </c>
      <c r="J112" s="0" t="s">
        <v>190</v>
      </c>
      <c r="K112" s="0" t="n">
        <v>1</v>
      </c>
      <c r="L112" s="0" t="n">
        <v>38.75</v>
      </c>
      <c r="M112" s="1" t="n">
        <f aca="false">K112*L112/100</f>
        <v>0.3875</v>
      </c>
      <c r="N112" s="1" t="n">
        <f aca="false">100 * (((K112)/(100)) - ((100-K112)/(L112*100-100)))</f>
        <v>-1.62251655629139</v>
      </c>
      <c r="V112" s="1"/>
      <c r="W112" s="1"/>
    </row>
    <row r="113" customFormat="false" ht="12.8" hidden="false" customHeight="false" outlineLevel="0" collapsed="false">
      <c r="A113" s="0" t="n">
        <v>111</v>
      </c>
      <c r="B113" s="0" t="s">
        <v>81</v>
      </c>
      <c r="C113" s="0" t="s">
        <v>82</v>
      </c>
      <c r="D113" s="0" t="n">
        <v>18</v>
      </c>
      <c r="E113" s="0" t="n">
        <v>6.72</v>
      </c>
      <c r="F113" s="1" t="n">
        <f aca="false">D113*E113/100</f>
        <v>1.2096</v>
      </c>
      <c r="H113" s="0" t="n">
        <v>238</v>
      </c>
      <c r="I113" s="0" t="s">
        <v>191</v>
      </c>
      <c r="J113" s="0" t="s">
        <v>17</v>
      </c>
      <c r="K113" s="0" t="n">
        <v>47</v>
      </c>
      <c r="L113" s="0" t="n">
        <v>2.09</v>
      </c>
      <c r="M113" s="1" t="n">
        <f aca="false">K113*L113/100</f>
        <v>0.9823</v>
      </c>
      <c r="N113" s="1" t="n">
        <f aca="false">100 * (((K113)/(100)) - ((100-K113)/(L113*100-100)))</f>
        <v>-1.62385321100918</v>
      </c>
      <c r="V113" s="1"/>
      <c r="W113" s="1"/>
    </row>
    <row r="114" customFormat="false" ht="12.8" hidden="false" customHeight="false" outlineLevel="0" collapsed="false">
      <c r="A114" s="0" t="n">
        <v>112</v>
      </c>
      <c r="B114" s="0" t="s">
        <v>81</v>
      </c>
      <c r="C114" s="0" t="s">
        <v>192</v>
      </c>
      <c r="D114" s="0" t="n">
        <v>22</v>
      </c>
      <c r="E114" s="0" t="n">
        <v>3.89</v>
      </c>
      <c r="F114" s="1" t="n">
        <f aca="false">D114*E114/100</f>
        <v>0.8558</v>
      </c>
      <c r="H114" s="0" t="n">
        <v>32</v>
      </c>
      <c r="I114" s="0" t="s">
        <v>95</v>
      </c>
      <c r="J114" s="0" t="n">
        <v>1</v>
      </c>
      <c r="K114" s="0" t="n">
        <v>32</v>
      </c>
      <c r="L114" s="0" t="n">
        <v>3.02</v>
      </c>
      <c r="M114" s="1" t="n">
        <f aca="false">K114*L114/100</f>
        <v>0.9664</v>
      </c>
      <c r="N114" s="1" t="n">
        <f aca="false">100 * (((K114)/(100)) - ((100-K114)/(L114*100-100)))</f>
        <v>-1.66336633663366</v>
      </c>
      <c r="V114" s="1"/>
      <c r="W114" s="1"/>
    </row>
    <row r="115" customFormat="false" ht="12.8" hidden="false" customHeight="false" outlineLevel="0" collapsed="false">
      <c r="A115" s="0" t="n">
        <v>113</v>
      </c>
      <c r="B115" s="0" t="s">
        <v>81</v>
      </c>
      <c r="C115" s="0" t="s">
        <v>193</v>
      </c>
      <c r="D115" s="0" t="n">
        <v>13</v>
      </c>
      <c r="E115" s="0" t="n">
        <v>4.47</v>
      </c>
      <c r="F115" s="1" t="n">
        <f aca="false">D115*E115/100</f>
        <v>0.5811</v>
      </c>
      <c r="H115" s="0" t="n">
        <v>204</v>
      </c>
      <c r="I115" s="0" t="s">
        <v>78</v>
      </c>
      <c r="J115" s="0" t="s">
        <v>194</v>
      </c>
      <c r="K115" s="0" t="n">
        <v>0</v>
      </c>
      <c r="L115" s="0" t="n">
        <v>60.25</v>
      </c>
      <c r="M115" s="1" t="n">
        <f aca="false">K115*L115/100</f>
        <v>0</v>
      </c>
      <c r="N115" s="1" t="n">
        <f aca="false">100 * (((K115)/(100)) - ((100-K115)/(L115*100-100)))</f>
        <v>-1.68776371308017</v>
      </c>
      <c r="V115" s="1"/>
      <c r="W115" s="1"/>
    </row>
    <row r="116" customFormat="false" ht="12.8" hidden="false" customHeight="false" outlineLevel="0" collapsed="false">
      <c r="A116" s="0" t="n">
        <v>114</v>
      </c>
      <c r="B116" s="0" t="s">
        <v>81</v>
      </c>
      <c r="C116" s="0" t="s">
        <v>195</v>
      </c>
      <c r="D116" s="0" t="n">
        <v>7</v>
      </c>
      <c r="E116" s="0" t="n">
        <v>9.13</v>
      </c>
      <c r="F116" s="1" t="n">
        <f aca="false">D116*E116/100</f>
        <v>0.6391</v>
      </c>
      <c r="H116" s="0" t="n">
        <v>128</v>
      </c>
      <c r="I116" s="0" t="s">
        <v>89</v>
      </c>
      <c r="J116" s="0" t="s">
        <v>196</v>
      </c>
      <c r="K116" s="0" t="n">
        <v>0</v>
      </c>
      <c r="L116" s="0" t="n">
        <v>55.25</v>
      </c>
      <c r="M116" s="1" t="n">
        <f aca="false">K116*L116/100</f>
        <v>0</v>
      </c>
      <c r="N116" s="1" t="n">
        <f aca="false">100 * (((K116)/(100)) - ((100-K116)/(L116*100-100)))</f>
        <v>-1.84331797235023</v>
      </c>
      <c r="V116" s="1"/>
      <c r="W116" s="1"/>
    </row>
    <row r="117" customFormat="false" ht="12.8" hidden="false" customHeight="false" outlineLevel="0" collapsed="false">
      <c r="A117" s="0" t="n">
        <v>115</v>
      </c>
      <c r="B117" s="0" t="s">
        <v>81</v>
      </c>
      <c r="C117" s="0" t="s">
        <v>139</v>
      </c>
      <c r="D117" s="0" t="n">
        <v>5</v>
      </c>
      <c r="E117" s="0" t="n">
        <v>19.25</v>
      </c>
      <c r="F117" s="1" t="n">
        <f aca="false">D117*E117/100</f>
        <v>0.9625</v>
      </c>
      <c r="H117" s="0" t="n">
        <v>179</v>
      </c>
      <c r="I117" s="0" t="s">
        <v>78</v>
      </c>
      <c r="J117" s="0" t="s">
        <v>197</v>
      </c>
      <c r="K117" s="0" t="n">
        <v>1</v>
      </c>
      <c r="L117" s="0" t="n">
        <v>34.75</v>
      </c>
      <c r="M117" s="1" t="n">
        <f aca="false">K117*L117/100</f>
        <v>0.3475</v>
      </c>
      <c r="N117" s="1" t="n">
        <f aca="false">100 * (((K117)/(100)) - ((100-K117)/(L117*100-100)))</f>
        <v>-1.93333333333333</v>
      </c>
      <c r="V117" s="1"/>
      <c r="W117" s="1"/>
    </row>
    <row r="118" customFormat="false" ht="12.8" hidden="false" customHeight="false" outlineLevel="0" collapsed="false">
      <c r="A118" s="0" t="n">
        <v>116</v>
      </c>
      <c r="B118" s="0" t="s">
        <v>81</v>
      </c>
      <c r="C118" s="0" t="n">
        <v>0</v>
      </c>
      <c r="D118" s="0" t="n">
        <v>34</v>
      </c>
      <c r="E118" s="0" t="n">
        <v>3.04</v>
      </c>
      <c r="F118" s="1" t="n">
        <f aca="false">D118*E118/100</f>
        <v>1.0336</v>
      </c>
      <c r="H118" s="0" t="n">
        <v>231</v>
      </c>
      <c r="I118" s="0" t="s">
        <v>198</v>
      </c>
      <c r="J118" s="0" t="s">
        <v>199</v>
      </c>
      <c r="K118" s="0" t="n">
        <v>22</v>
      </c>
      <c r="L118" s="0" t="n">
        <v>4.25</v>
      </c>
      <c r="M118" s="1" t="n">
        <f aca="false">K118*L118/100</f>
        <v>0.935</v>
      </c>
      <c r="N118" s="1" t="n">
        <f aca="false">100 * (((K118)/(100)) - ((100-K118)/(L118*100-100)))</f>
        <v>-2</v>
      </c>
      <c r="V118" s="1"/>
      <c r="W118" s="1"/>
    </row>
    <row r="119" customFormat="false" ht="12.8" hidden="false" customHeight="false" outlineLevel="0" collapsed="false">
      <c r="A119" s="0" t="n">
        <v>117</v>
      </c>
      <c r="B119" s="0" t="s">
        <v>86</v>
      </c>
      <c r="C119" s="0" t="n">
        <v>1</v>
      </c>
      <c r="D119" s="0" t="n">
        <v>32</v>
      </c>
      <c r="E119" s="0" t="n">
        <v>2.67</v>
      </c>
      <c r="F119" s="1" t="n">
        <f aca="false">D119*E119/100</f>
        <v>0.8544</v>
      </c>
      <c r="H119" s="0" t="n">
        <v>184</v>
      </c>
      <c r="I119" s="0" t="s">
        <v>78</v>
      </c>
      <c r="J119" s="0" t="s">
        <v>200</v>
      </c>
      <c r="K119" s="0" t="n">
        <v>2</v>
      </c>
      <c r="L119" s="0" t="n">
        <v>25.1</v>
      </c>
      <c r="M119" s="1" t="n">
        <f aca="false">K119*L119/100</f>
        <v>0.502</v>
      </c>
      <c r="N119" s="1" t="n">
        <f aca="false">100 * (((K119)/(100)) - ((100-K119)/(L119*100-100)))</f>
        <v>-2.06639004149378</v>
      </c>
      <c r="V119" s="1"/>
      <c r="W119" s="1"/>
    </row>
    <row r="120" customFormat="false" ht="12.8" hidden="false" customHeight="false" outlineLevel="0" collapsed="false">
      <c r="A120" s="0" t="n">
        <v>118</v>
      </c>
      <c r="B120" s="0" t="s">
        <v>86</v>
      </c>
      <c r="C120" s="0" t="n">
        <v>0</v>
      </c>
      <c r="D120" s="0" t="n">
        <v>41</v>
      </c>
      <c r="E120" s="0" t="n">
        <v>2.52</v>
      </c>
      <c r="F120" s="1" t="n">
        <f aca="false">D120*E120/100</f>
        <v>1.0332</v>
      </c>
      <c r="H120" s="0" t="n">
        <v>196</v>
      </c>
      <c r="I120" s="0" t="s">
        <v>78</v>
      </c>
      <c r="J120" s="0" t="s">
        <v>201</v>
      </c>
      <c r="K120" s="0" t="n">
        <v>2</v>
      </c>
      <c r="L120" s="0" t="n">
        <v>25.1</v>
      </c>
      <c r="M120" s="1" t="n">
        <f aca="false">K120*L120/100</f>
        <v>0.502</v>
      </c>
      <c r="N120" s="1" t="n">
        <f aca="false">100 * (((K120)/(100)) - ((100-K120)/(L120*100-100)))</f>
        <v>-2.06639004149378</v>
      </c>
      <c r="V120" s="1"/>
      <c r="W120" s="1"/>
    </row>
    <row r="121" customFormat="false" ht="12.8" hidden="false" customHeight="false" outlineLevel="0" collapsed="false">
      <c r="A121" s="0" t="n">
        <v>119</v>
      </c>
      <c r="B121" s="0" t="s">
        <v>86</v>
      </c>
      <c r="C121" s="0" t="n">
        <v>2</v>
      </c>
      <c r="D121" s="0" t="n">
        <v>27</v>
      </c>
      <c r="E121" s="0" t="n">
        <v>3.21</v>
      </c>
      <c r="F121" s="1" t="n">
        <f aca="false">D121*E121/100</f>
        <v>0.8667</v>
      </c>
      <c r="H121" s="0" t="n">
        <v>170</v>
      </c>
      <c r="I121" s="0" t="s">
        <v>99</v>
      </c>
      <c r="J121" s="0" t="s">
        <v>202</v>
      </c>
      <c r="K121" s="0" t="n">
        <v>22</v>
      </c>
      <c r="L121" s="0" t="n">
        <v>4.23</v>
      </c>
      <c r="M121" s="1" t="n">
        <f aca="false">K121*L121/100</f>
        <v>0.9306</v>
      </c>
      <c r="N121" s="1" t="n">
        <f aca="false">100 * (((K121)/(100)) - ((100-K121)/(L121*100-100)))</f>
        <v>-2.14860681114551</v>
      </c>
      <c r="V121" s="1"/>
      <c r="W121" s="1"/>
    </row>
    <row r="122" customFormat="false" ht="12.8" hidden="false" customHeight="false" outlineLevel="0" collapsed="false">
      <c r="A122" s="0" t="n">
        <v>120</v>
      </c>
      <c r="B122" s="0" t="s">
        <v>42</v>
      </c>
      <c r="C122" s="0" t="s">
        <v>169</v>
      </c>
      <c r="D122" s="0" t="n">
        <v>41</v>
      </c>
      <c r="E122" s="0" t="n">
        <v>1.98</v>
      </c>
      <c r="F122" s="1" t="n">
        <f aca="false">D122*E122/100</f>
        <v>0.8118</v>
      </c>
      <c r="H122" s="0" t="n">
        <v>22</v>
      </c>
      <c r="I122" s="0" t="s">
        <v>60</v>
      </c>
      <c r="J122" s="0" t="s">
        <v>80</v>
      </c>
      <c r="K122" s="0" t="n">
        <v>5</v>
      </c>
      <c r="L122" s="0" t="n">
        <v>13.95</v>
      </c>
      <c r="M122" s="1" t="n">
        <f aca="false">K122*L122/100</f>
        <v>0.6975</v>
      </c>
      <c r="N122" s="1" t="n">
        <f aca="false">100 * (((K122)/(100)) - ((100-K122)/(L122*100-100)))</f>
        <v>-2.33590733590734</v>
      </c>
      <c r="V122" s="1"/>
      <c r="W122" s="1"/>
    </row>
    <row r="123" customFormat="false" ht="12.8" hidden="false" customHeight="false" outlineLevel="0" collapsed="false">
      <c r="A123" s="0" t="n">
        <v>121</v>
      </c>
      <c r="B123" s="0" t="s">
        <v>42</v>
      </c>
      <c r="C123" s="0" t="s">
        <v>43</v>
      </c>
      <c r="D123" s="0" t="n">
        <v>59</v>
      </c>
      <c r="E123" s="0" t="n">
        <v>1.89</v>
      </c>
      <c r="F123" s="1" t="n">
        <f aca="false">D123*E123/100</f>
        <v>1.1151</v>
      </c>
      <c r="H123" s="0" t="n">
        <v>38</v>
      </c>
      <c r="I123" s="0" t="s">
        <v>69</v>
      </c>
      <c r="J123" s="0" t="s">
        <v>107</v>
      </c>
      <c r="K123" s="0" t="n">
        <v>32</v>
      </c>
      <c r="L123" s="0" t="n">
        <v>2.98</v>
      </c>
      <c r="M123" s="1" t="n">
        <f aca="false">K123*L123/100</f>
        <v>0.9536</v>
      </c>
      <c r="N123" s="1" t="n">
        <f aca="false">100 * (((K123)/(100)) - ((100-K123)/(L123*100-100)))</f>
        <v>-2.34343434343434</v>
      </c>
      <c r="V123" s="1"/>
      <c r="W123" s="1"/>
    </row>
    <row r="124" customFormat="false" ht="12.8" hidden="false" customHeight="false" outlineLevel="0" collapsed="false">
      <c r="A124" s="0" t="n">
        <v>122</v>
      </c>
      <c r="B124" s="0" t="s">
        <v>89</v>
      </c>
      <c r="C124" s="0" t="s">
        <v>202</v>
      </c>
      <c r="D124" s="0" t="n">
        <v>9</v>
      </c>
      <c r="E124" s="0" t="n">
        <v>6.28</v>
      </c>
      <c r="F124" s="1" t="n">
        <f aca="false">D124*E124/100</f>
        <v>0.5652</v>
      </c>
      <c r="H124" s="0" t="n">
        <v>178</v>
      </c>
      <c r="I124" s="0" t="s">
        <v>78</v>
      </c>
      <c r="J124" s="0" t="s">
        <v>203</v>
      </c>
      <c r="K124" s="0" t="n">
        <v>6</v>
      </c>
      <c r="L124" s="0" t="n">
        <v>12.25</v>
      </c>
      <c r="M124" s="1" t="n">
        <f aca="false">K124*L124/100</f>
        <v>0.735</v>
      </c>
      <c r="N124" s="1" t="n">
        <f aca="false">100 * (((K124)/(100)) - ((100-K124)/(L124*100-100)))</f>
        <v>-2.35555555555556</v>
      </c>
    </row>
    <row r="125" customFormat="false" ht="12.8" hidden="false" customHeight="false" outlineLevel="0" collapsed="false">
      <c r="A125" s="0" t="n">
        <v>123</v>
      </c>
      <c r="B125" s="0" t="s">
        <v>89</v>
      </c>
      <c r="C125" s="0" t="s">
        <v>108</v>
      </c>
      <c r="D125" s="0" t="n">
        <v>12</v>
      </c>
      <c r="E125" s="0" t="n">
        <v>9</v>
      </c>
      <c r="F125" s="1" t="n">
        <f aca="false">D125*E125/100</f>
        <v>1.08</v>
      </c>
      <c r="H125" s="0" t="n">
        <v>185</v>
      </c>
      <c r="I125" s="0" t="s">
        <v>78</v>
      </c>
      <c r="J125" s="0" t="s">
        <v>204</v>
      </c>
      <c r="K125" s="0" t="n">
        <v>0</v>
      </c>
      <c r="L125" s="0" t="n">
        <v>43.25</v>
      </c>
      <c r="M125" s="1" t="n">
        <f aca="false">K125*L125/100</f>
        <v>0</v>
      </c>
      <c r="N125" s="1" t="n">
        <f aca="false">100 * (((K125)/(100)) - ((100-K125)/(L125*100-100)))</f>
        <v>-2.36686390532544</v>
      </c>
    </row>
    <row r="126" customFormat="false" ht="12.8" hidden="false" customHeight="false" outlineLevel="0" collapsed="false">
      <c r="A126" s="0" t="n">
        <v>124</v>
      </c>
      <c r="B126" s="0" t="s">
        <v>89</v>
      </c>
      <c r="C126" s="0" t="s">
        <v>100</v>
      </c>
      <c r="D126" s="0" t="n">
        <v>10</v>
      </c>
      <c r="E126" s="0" t="n">
        <v>7.8</v>
      </c>
      <c r="F126" s="1" t="n">
        <f aca="false">D126*E126/100</f>
        <v>0.78</v>
      </c>
      <c r="H126" s="0" t="n">
        <v>193</v>
      </c>
      <c r="I126" s="0" t="s">
        <v>78</v>
      </c>
      <c r="J126" s="0" t="s">
        <v>205</v>
      </c>
      <c r="K126" s="0" t="n">
        <v>0</v>
      </c>
      <c r="L126" s="0" t="n">
        <v>43.25</v>
      </c>
      <c r="M126" s="1" t="n">
        <f aca="false">K126*L126/100</f>
        <v>0</v>
      </c>
      <c r="N126" s="1" t="n">
        <f aca="false">100 * (((K126)/(100)) - ((100-K126)/(L126*100-100)))</f>
        <v>-2.36686390532544</v>
      </c>
    </row>
    <row r="127" customFormat="false" ht="12.8" hidden="false" customHeight="false" outlineLevel="0" collapsed="false">
      <c r="A127" s="0" t="n">
        <v>125</v>
      </c>
      <c r="B127" s="0" t="s">
        <v>89</v>
      </c>
      <c r="C127" s="0" t="s">
        <v>206</v>
      </c>
      <c r="D127" s="0" t="n">
        <v>0</v>
      </c>
      <c r="E127" s="0" t="n">
        <v>19.2</v>
      </c>
      <c r="F127" s="1" t="n">
        <f aca="false">D127*E127/100</f>
        <v>0</v>
      </c>
      <c r="H127" s="0" t="n">
        <v>207</v>
      </c>
      <c r="I127" s="0" t="s">
        <v>78</v>
      </c>
      <c r="J127" s="0" t="s">
        <v>207</v>
      </c>
      <c r="K127" s="0" t="n">
        <v>0</v>
      </c>
      <c r="L127" s="0" t="n">
        <v>43.25</v>
      </c>
      <c r="M127" s="1" t="n">
        <f aca="false">K127*L127/100</f>
        <v>0</v>
      </c>
      <c r="N127" s="1" t="n">
        <f aca="false">100 * (((K127)/(100)) - ((100-K127)/(L127*100-100)))</f>
        <v>-2.36686390532544</v>
      </c>
    </row>
    <row r="128" customFormat="false" ht="12.8" hidden="false" customHeight="false" outlineLevel="0" collapsed="false">
      <c r="A128" s="0" t="n">
        <v>126</v>
      </c>
      <c r="B128" s="0" t="s">
        <v>89</v>
      </c>
      <c r="C128" s="0" t="s">
        <v>136</v>
      </c>
      <c r="D128" s="0" t="n">
        <v>6</v>
      </c>
      <c r="E128" s="0" t="n">
        <v>16.6</v>
      </c>
      <c r="F128" s="1" t="n">
        <f aca="false">D128*E128/100</f>
        <v>0.996</v>
      </c>
      <c r="H128" s="0" t="n">
        <v>161</v>
      </c>
      <c r="I128" s="0" t="s">
        <v>147</v>
      </c>
      <c r="J128" s="0" t="s">
        <v>208</v>
      </c>
      <c r="K128" s="0" t="n">
        <v>2</v>
      </c>
      <c r="L128" s="0" t="n">
        <v>22.1</v>
      </c>
      <c r="M128" s="1" t="n">
        <f aca="false">K128*L128/100</f>
        <v>0.442</v>
      </c>
      <c r="N128" s="1" t="n">
        <f aca="false">100 * (((K128)/(100)) - ((100-K128)/(L128*100-100)))</f>
        <v>-2.64454976303318</v>
      </c>
    </row>
    <row r="129" customFormat="false" ht="12.8" hidden="false" customHeight="false" outlineLevel="0" collapsed="false">
      <c r="A129" s="0" t="n">
        <v>127</v>
      </c>
      <c r="B129" s="0" t="s">
        <v>89</v>
      </c>
      <c r="C129" s="0" t="s">
        <v>188</v>
      </c>
      <c r="D129" s="0" t="n">
        <v>2</v>
      </c>
      <c r="E129" s="0" t="n">
        <v>28.25</v>
      </c>
      <c r="F129" s="1" t="n">
        <f aca="false">D129*E129/100</f>
        <v>0.565</v>
      </c>
      <c r="H129" s="0" t="n">
        <v>171</v>
      </c>
      <c r="I129" s="0" t="s">
        <v>99</v>
      </c>
      <c r="J129" s="0" t="s">
        <v>108</v>
      </c>
      <c r="K129" s="0" t="n">
        <v>5</v>
      </c>
      <c r="L129" s="0" t="n">
        <v>13.35</v>
      </c>
      <c r="M129" s="1" t="n">
        <f aca="false">K129*L129/100</f>
        <v>0.6675</v>
      </c>
      <c r="N129" s="1" t="n">
        <f aca="false">100 * (((K129)/(100)) - ((100-K129)/(L129*100-100)))</f>
        <v>-2.69230769230769</v>
      </c>
    </row>
    <row r="130" customFormat="false" ht="12.8" hidden="false" customHeight="false" outlineLevel="0" collapsed="false">
      <c r="A130" s="0" t="n">
        <v>128</v>
      </c>
      <c r="B130" s="0" t="s">
        <v>89</v>
      </c>
      <c r="C130" s="0" t="s">
        <v>196</v>
      </c>
      <c r="D130" s="0" t="n">
        <v>0</v>
      </c>
      <c r="E130" s="0" t="n">
        <v>55.25</v>
      </c>
      <c r="F130" s="1" t="n">
        <f aca="false">D130*E130/100</f>
        <v>0</v>
      </c>
      <c r="H130" s="0" t="n">
        <v>235</v>
      </c>
      <c r="I130" s="0" t="s">
        <v>198</v>
      </c>
      <c r="J130" s="0" t="s">
        <v>209</v>
      </c>
      <c r="K130" s="0" t="n">
        <v>11</v>
      </c>
      <c r="L130" s="0" t="n">
        <v>7.49</v>
      </c>
      <c r="M130" s="1" t="n">
        <f aca="false">K130*L130/100</f>
        <v>0.8239</v>
      </c>
      <c r="N130" s="1" t="n">
        <f aca="false">100 * (((K130)/(100)) - ((100-K130)/(L130*100-100)))</f>
        <v>-2.71340523882897</v>
      </c>
    </row>
    <row r="131" customFormat="false" ht="12.8" hidden="false" customHeight="false" outlineLevel="0" collapsed="false">
      <c r="A131" s="0" t="n">
        <v>129</v>
      </c>
      <c r="B131" s="0" t="s">
        <v>89</v>
      </c>
      <c r="C131" s="0" t="s">
        <v>173</v>
      </c>
      <c r="D131" s="0" t="n">
        <v>1</v>
      </c>
      <c r="E131" s="0" t="n">
        <v>47.25</v>
      </c>
      <c r="F131" s="1" t="n">
        <f aca="false">D131*E131/100</f>
        <v>0.4725</v>
      </c>
      <c r="H131" s="0" t="n">
        <v>201</v>
      </c>
      <c r="I131" s="0" t="s">
        <v>78</v>
      </c>
      <c r="J131" s="0" t="s">
        <v>210</v>
      </c>
      <c r="K131" s="0" t="n">
        <v>2</v>
      </c>
      <c r="L131" s="0" t="n">
        <v>21.7</v>
      </c>
      <c r="M131" s="1" t="n">
        <f aca="false">K131*L131/100</f>
        <v>0.434</v>
      </c>
      <c r="N131" s="1" t="n">
        <f aca="false">100 * (((K131)/(100)) - ((100-K131)/(L131*100-100)))</f>
        <v>-2.73429951690821</v>
      </c>
    </row>
    <row r="132" customFormat="false" ht="12.8" hidden="false" customHeight="false" outlineLevel="0" collapsed="false">
      <c r="A132" s="0" t="n">
        <v>130</v>
      </c>
      <c r="B132" s="0" t="s">
        <v>89</v>
      </c>
      <c r="C132" s="0" t="s">
        <v>182</v>
      </c>
      <c r="D132" s="0" t="n">
        <v>0</v>
      </c>
      <c r="E132" s="0" t="n">
        <v>81.25</v>
      </c>
      <c r="F132" s="1" t="n">
        <f aca="false">D132*E132/100</f>
        <v>0</v>
      </c>
      <c r="H132" s="0" t="n">
        <v>53</v>
      </c>
      <c r="I132" s="0" t="s">
        <v>75</v>
      </c>
      <c r="J132" s="0" t="s">
        <v>127</v>
      </c>
      <c r="K132" s="0" t="n">
        <v>37</v>
      </c>
      <c r="L132" s="0" t="n">
        <v>2.58</v>
      </c>
      <c r="M132" s="1" t="n">
        <f aca="false">K132*L132/100</f>
        <v>0.9546</v>
      </c>
      <c r="N132" s="1" t="n">
        <f aca="false">100 * (((K132)/(100)) - ((100-K132)/(L132*100-100)))</f>
        <v>-2.87341772151899</v>
      </c>
    </row>
    <row r="133" customFormat="false" ht="12.8" hidden="false" customHeight="false" outlineLevel="0" collapsed="false">
      <c r="A133" s="0" t="n">
        <v>131</v>
      </c>
      <c r="B133" s="0" t="s">
        <v>89</v>
      </c>
      <c r="C133" s="0" t="s">
        <v>154</v>
      </c>
      <c r="D133" s="0" t="n">
        <v>0</v>
      </c>
      <c r="E133" s="0" t="n">
        <v>130.25</v>
      </c>
      <c r="F133" s="1" t="n">
        <f aca="false">D133*E133/100</f>
        <v>0</v>
      </c>
      <c r="H133" s="0" t="n">
        <v>168</v>
      </c>
      <c r="I133" s="0" t="s">
        <v>99</v>
      </c>
      <c r="J133" s="0" t="s">
        <v>211</v>
      </c>
      <c r="K133" s="0" t="n">
        <v>10</v>
      </c>
      <c r="L133" s="0" t="n">
        <v>7.98</v>
      </c>
      <c r="M133" s="1" t="n">
        <f aca="false">K133*L133/100</f>
        <v>0.798</v>
      </c>
      <c r="N133" s="1" t="n">
        <f aca="false">100 * (((K133)/(100)) - ((100-K133)/(L133*100-100)))</f>
        <v>-2.89398280802292</v>
      </c>
    </row>
    <row r="134" customFormat="false" ht="12.8" hidden="false" customHeight="false" outlineLevel="0" collapsed="false">
      <c r="A134" s="0" t="n">
        <v>132</v>
      </c>
      <c r="B134" s="0" t="s">
        <v>89</v>
      </c>
      <c r="C134" s="0" t="s">
        <v>156</v>
      </c>
      <c r="D134" s="0" t="n">
        <v>0</v>
      </c>
      <c r="E134" s="0" t="n">
        <v>130.25</v>
      </c>
      <c r="F134" s="1" t="n">
        <f aca="false">D134*E134/100</f>
        <v>0</v>
      </c>
      <c r="H134" s="0" t="n">
        <v>93</v>
      </c>
      <c r="I134" s="0" t="s">
        <v>72</v>
      </c>
      <c r="J134" s="0" t="n">
        <v>1</v>
      </c>
      <c r="K134" s="0" t="n">
        <v>26</v>
      </c>
      <c r="L134" s="0" t="n">
        <v>3.56</v>
      </c>
      <c r="M134" s="1" t="n">
        <f aca="false">K134*L134/100</f>
        <v>0.9256</v>
      </c>
      <c r="N134" s="1" t="n">
        <f aca="false">100 * (((K134)/(100)) - ((100-K134)/(L134*100-100)))</f>
        <v>-2.90625</v>
      </c>
    </row>
    <row r="135" customFormat="false" ht="12.8" hidden="false" customHeight="false" outlineLevel="0" collapsed="false">
      <c r="A135" s="0" t="n">
        <v>133</v>
      </c>
      <c r="B135" s="0" t="s">
        <v>89</v>
      </c>
      <c r="C135" s="0" t="s">
        <v>157</v>
      </c>
      <c r="D135" s="0" t="n">
        <v>0</v>
      </c>
      <c r="E135" s="0" t="n">
        <v>130.25</v>
      </c>
      <c r="F135" s="1" t="n">
        <f aca="false">D135*E135/100</f>
        <v>0</v>
      </c>
      <c r="H135" s="0" t="n">
        <v>57</v>
      </c>
      <c r="I135" s="0" t="s">
        <v>75</v>
      </c>
      <c r="J135" s="0" t="s">
        <v>130</v>
      </c>
      <c r="K135" s="0" t="n">
        <v>0</v>
      </c>
      <c r="L135" s="0" t="n">
        <v>34.75</v>
      </c>
      <c r="M135" s="1" t="n">
        <f aca="false">K135*L135/100</f>
        <v>0</v>
      </c>
      <c r="N135" s="1" t="n">
        <f aca="false">100 * (((K135)/(100)) - ((100-K135)/(L135*100-100)))</f>
        <v>-2.96296296296296</v>
      </c>
    </row>
    <row r="136" customFormat="false" ht="12.8" hidden="false" customHeight="false" outlineLevel="0" collapsed="false">
      <c r="A136" s="0" t="n">
        <v>134</v>
      </c>
      <c r="B136" s="0" t="s">
        <v>89</v>
      </c>
      <c r="C136" s="0" t="s">
        <v>90</v>
      </c>
      <c r="D136" s="0" t="n">
        <v>15</v>
      </c>
      <c r="E136" s="0" t="n">
        <v>7.75</v>
      </c>
      <c r="F136" s="1" t="n">
        <f aca="false">D136*E136/100</f>
        <v>1.1625</v>
      </c>
      <c r="H136" s="0" t="n">
        <v>213</v>
      </c>
      <c r="I136" s="0" t="s">
        <v>78</v>
      </c>
      <c r="J136" s="0" t="s">
        <v>212</v>
      </c>
      <c r="K136" s="0" t="n">
        <v>0</v>
      </c>
      <c r="L136" s="0" t="n">
        <v>34.75</v>
      </c>
      <c r="M136" s="1" t="n">
        <f aca="false">K136*L136/100</f>
        <v>0</v>
      </c>
      <c r="N136" s="1" t="n">
        <f aca="false">100 * (((K136)/(100)) - ((100-K136)/(L136*100-100)))</f>
        <v>-2.96296296296296</v>
      </c>
    </row>
    <row r="137" customFormat="false" ht="12.8" hidden="false" customHeight="false" outlineLevel="0" collapsed="false">
      <c r="A137" s="0" t="n">
        <v>135</v>
      </c>
      <c r="B137" s="0" t="s">
        <v>89</v>
      </c>
      <c r="C137" s="0" t="s">
        <v>211</v>
      </c>
      <c r="D137" s="0" t="n">
        <v>17</v>
      </c>
      <c r="E137" s="0" t="n">
        <v>5.08</v>
      </c>
      <c r="F137" s="1" t="n">
        <f aca="false">D137*E137/100</f>
        <v>0.8636</v>
      </c>
      <c r="H137" s="0" t="n">
        <v>97</v>
      </c>
      <c r="I137" s="0" t="s">
        <v>177</v>
      </c>
      <c r="J137" s="0" t="s">
        <v>36</v>
      </c>
      <c r="K137" s="0" t="n">
        <v>43</v>
      </c>
      <c r="L137" s="0" t="n">
        <v>2.24</v>
      </c>
      <c r="M137" s="1" t="n">
        <f aca="false">K137*L137/100</f>
        <v>0.9632</v>
      </c>
      <c r="N137" s="1" t="n">
        <f aca="false">100 * (((K137)/(100)) - ((100-K137)/(L137*100-100)))</f>
        <v>-2.96774193548386</v>
      </c>
    </row>
    <row r="138" customFormat="false" ht="12.8" hidden="false" customHeight="false" outlineLevel="0" collapsed="false">
      <c r="A138" s="0" t="n">
        <v>136</v>
      </c>
      <c r="B138" s="0" t="s">
        <v>89</v>
      </c>
      <c r="C138" s="0" t="s">
        <v>151</v>
      </c>
      <c r="D138" s="0" t="n">
        <v>2</v>
      </c>
      <c r="E138" s="0" t="n">
        <v>12.1</v>
      </c>
      <c r="F138" s="1" t="n">
        <f aca="false">D138*E138/100</f>
        <v>0.242</v>
      </c>
      <c r="H138" s="0" t="n">
        <v>206</v>
      </c>
      <c r="I138" s="0" t="s">
        <v>78</v>
      </c>
      <c r="J138" s="0" t="s">
        <v>213</v>
      </c>
      <c r="K138" s="0" t="n">
        <v>1</v>
      </c>
      <c r="L138" s="0" t="n">
        <v>25.1</v>
      </c>
      <c r="M138" s="1" t="n">
        <f aca="false">K138*L138/100</f>
        <v>0.251</v>
      </c>
      <c r="N138" s="1" t="n">
        <f aca="false">100 * (((K138)/(100)) - ((100-K138)/(L138*100-100)))</f>
        <v>-3.10788381742739</v>
      </c>
    </row>
    <row r="139" customFormat="false" ht="12.8" hidden="false" customHeight="false" outlineLevel="0" collapsed="false">
      <c r="A139" s="0" t="n">
        <v>137</v>
      </c>
      <c r="B139" s="0" t="s">
        <v>89</v>
      </c>
      <c r="C139" s="0" t="s">
        <v>187</v>
      </c>
      <c r="D139" s="0" t="n">
        <v>0</v>
      </c>
      <c r="E139" s="0" t="n">
        <v>66.25</v>
      </c>
      <c r="F139" s="1" t="n">
        <f aca="false">D139*E139/100</f>
        <v>0</v>
      </c>
      <c r="H139" s="0" t="n">
        <v>222</v>
      </c>
      <c r="I139" s="0" t="s">
        <v>78</v>
      </c>
      <c r="J139" s="0" t="s">
        <v>214</v>
      </c>
      <c r="K139" s="0" t="n">
        <v>1</v>
      </c>
      <c r="L139" s="0" t="n">
        <v>25.1</v>
      </c>
      <c r="M139" s="1" t="n">
        <f aca="false">K139*L139/100</f>
        <v>0.251</v>
      </c>
      <c r="N139" s="1" t="n">
        <f aca="false">100 * (((K139)/(100)) - ((100-K139)/(L139*100-100)))</f>
        <v>-3.10788381742739</v>
      </c>
    </row>
    <row r="140" customFormat="false" ht="12.8" hidden="false" customHeight="false" outlineLevel="0" collapsed="false">
      <c r="A140" s="0" t="n">
        <v>138</v>
      </c>
      <c r="B140" s="0" t="s">
        <v>89</v>
      </c>
      <c r="C140" s="0" t="s">
        <v>215</v>
      </c>
      <c r="D140" s="0" t="n">
        <v>8</v>
      </c>
      <c r="E140" s="0" t="n">
        <v>7.28</v>
      </c>
      <c r="F140" s="1" t="n">
        <f aca="false">D140*E140/100</f>
        <v>0.5824</v>
      </c>
      <c r="H140" s="0" t="n">
        <v>6</v>
      </c>
      <c r="I140" s="0" t="s">
        <v>14</v>
      </c>
      <c r="J140" s="0" t="s">
        <v>34</v>
      </c>
      <c r="K140" s="0" t="n">
        <v>68</v>
      </c>
      <c r="L140" s="0" t="n">
        <v>1.45</v>
      </c>
      <c r="M140" s="1" t="n">
        <f aca="false">K140*L140/100</f>
        <v>0.986</v>
      </c>
      <c r="N140" s="1" t="n">
        <f aca="false">100 * (((K140)/(100)) - ((100-K140)/(L140*100-100)))</f>
        <v>-3.11111111111111</v>
      </c>
    </row>
    <row r="141" customFormat="false" ht="12.8" hidden="false" customHeight="false" outlineLevel="0" collapsed="false">
      <c r="A141" s="0" t="n">
        <v>139</v>
      </c>
      <c r="B141" s="0" t="s">
        <v>89</v>
      </c>
      <c r="C141" s="0" t="s">
        <v>216</v>
      </c>
      <c r="D141" s="0" t="n">
        <v>3</v>
      </c>
      <c r="E141" s="0" t="n">
        <v>12.15</v>
      </c>
      <c r="F141" s="1" t="n">
        <f aca="false">D141*E141/100</f>
        <v>0.3645</v>
      </c>
      <c r="H141" s="0" t="n">
        <v>143</v>
      </c>
      <c r="I141" s="0" t="s">
        <v>89</v>
      </c>
      <c r="J141" s="0" t="s">
        <v>217</v>
      </c>
      <c r="K141" s="0" t="n">
        <v>0</v>
      </c>
      <c r="L141" s="0" t="n">
        <v>32.75</v>
      </c>
      <c r="M141" s="1" t="n">
        <f aca="false">K141*L141/100</f>
        <v>0</v>
      </c>
      <c r="N141" s="1" t="n">
        <f aca="false">100 * (((K141)/(100)) - ((100-K141)/(L141*100-100)))</f>
        <v>-3.1496062992126</v>
      </c>
    </row>
    <row r="142" customFormat="false" ht="12.8" hidden="false" customHeight="false" outlineLevel="0" collapsed="false">
      <c r="A142" s="0" t="n">
        <v>140</v>
      </c>
      <c r="B142" s="0" t="s">
        <v>89</v>
      </c>
      <c r="C142" s="0" t="s">
        <v>184</v>
      </c>
      <c r="D142" s="0" t="n">
        <v>5</v>
      </c>
      <c r="E142" s="0" t="n">
        <v>9.08</v>
      </c>
      <c r="F142" s="1" t="n">
        <f aca="false">D142*E142/100</f>
        <v>0.454</v>
      </c>
      <c r="H142" s="0" t="n">
        <v>124</v>
      </c>
      <c r="I142" s="0" t="s">
        <v>89</v>
      </c>
      <c r="J142" s="0" t="s">
        <v>100</v>
      </c>
      <c r="K142" s="0" t="n">
        <v>10</v>
      </c>
      <c r="L142" s="0" t="n">
        <v>7.8</v>
      </c>
      <c r="M142" s="1" t="n">
        <f aca="false">K142*L142/100</f>
        <v>0.78</v>
      </c>
      <c r="N142" s="1" t="n">
        <f aca="false">100 * (((K142)/(100)) - ((100-K142)/(L142*100-100)))</f>
        <v>-3.23529411764706</v>
      </c>
    </row>
    <row r="143" customFormat="false" ht="12.8" hidden="false" customHeight="false" outlineLevel="0" collapsed="false">
      <c r="A143" s="0" t="n">
        <v>141</v>
      </c>
      <c r="B143" s="0" t="s">
        <v>89</v>
      </c>
      <c r="C143" s="0" t="s">
        <v>140</v>
      </c>
      <c r="D143" s="0" t="n">
        <v>3</v>
      </c>
      <c r="E143" s="0" t="n">
        <v>30.75</v>
      </c>
      <c r="F143" s="1" t="n">
        <f aca="false">D143*E143/100</f>
        <v>0.9225</v>
      </c>
      <c r="H143" s="0" t="n">
        <v>228</v>
      </c>
      <c r="I143" s="0" t="s">
        <v>218</v>
      </c>
      <c r="J143" s="0" t="s">
        <v>219</v>
      </c>
      <c r="K143" s="0" t="n">
        <v>45</v>
      </c>
      <c r="L143" s="0" t="n">
        <v>2.14</v>
      </c>
      <c r="M143" s="1" t="n">
        <f aca="false">K143*L143/100</f>
        <v>0.963</v>
      </c>
      <c r="N143" s="1" t="n">
        <f aca="false">100 * (((K143)/(100)) - ((100-K143)/(L143*100-100)))</f>
        <v>-3.24561403508772</v>
      </c>
    </row>
    <row r="144" customFormat="false" ht="12.8" hidden="false" customHeight="false" outlineLevel="0" collapsed="false">
      <c r="A144" s="0" t="n">
        <v>142</v>
      </c>
      <c r="B144" s="0" t="s">
        <v>89</v>
      </c>
      <c r="C144" s="0" t="s">
        <v>145</v>
      </c>
      <c r="D144" s="0" t="n">
        <v>4</v>
      </c>
      <c r="E144" s="0" t="n">
        <v>22.55</v>
      </c>
      <c r="F144" s="1" t="n">
        <f aca="false">D144*E144/100</f>
        <v>0.902</v>
      </c>
      <c r="H144" s="0" t="n">
        <v>205</v>
      </c>
      <c r="I144" s="0" t="s">
        <v>78</v>
      </c>
      <c r="J144" s="0" t="s">
        <v>220</v>
      </c>
      <c r="K144" s="0" t="n">
        <v>1</v>
      </c>
      <c r="L144" s="0" t="n">
        <v>24.25</v>
      </c>
      <c r="M144" s="1" t="n">
        <f aca="false">K144*L144/100</f>
        <v>0.2425</v>
      </c>
      <c r="N144" s="1" t="n">
        <f aca="false">100 * (((K144)/(100)) - ((100-K144)/(L144*100-100)))</f>
        <v>-3.25806451612903</v>
      </c>
    </row>
    <row r="145" customFormat="false" ht="12.8" hidden="false" customHeight="false" outlineLevel="0" collapsed="false">
      <c r="A145" s="0" t="n">
        <v>143</v>
      </c>
      <c r="B145" s="0" t="s">
        <v>89</v>
      </c>
      <c r="C145" s="0" t="s">
        <v>217</v>
      </c>
      <c r="D145" s="0" t="n">
        <v>0</v>
      </c>
      <c r="E145" s="0" t="n">
        <v>32.75</v>
      </c>
      <c r="F145" s="1" t="n">
        <f aca="false">D145*E145/100</f>
        <v>0</v>
      </c>
      <c r="H145" s="0" t="n">
        <v>135</v>
      </c>
      <c r="I145" s="0" t="s">
        <v>89</v>
      </c>
      <c r="J145" s="0" t="s">
        <v>211</v>
      </c>
      <c r="K145" s="0" t="n">
        <v>17</v>
      </c>
      <c r="L145" s="0" t="n">
        <v>5.08</v>
      </c>
      <c r="M145" s="1" t="n">
        <f aca="false">K145*L145/100</f>
        <v>0.8636</v>
      </c>
      <c r="N145" s="1" t="n">
        <f aca="false">100 * (((K145)/(100)) - ((100-K145)/(L145*100-100)))</f>
        <v>-3.34313725490196</v>
      </c>
    </row>
    <row r="146" customFormat="false" ht="12.8" hidden="false" customHeight="false" outlineLevel="0" collapsed="false">
      <c r="A146" s="0" t="n">
        <v>144</v>
      </c>
      <c r="B146" s="0" t="s">
        <v>89</v>
      </c>
      <c r="C146" s="0" t="s">
        <v>171</v>
      </c>
      <c r="D146" s="0" t="n">
        <v>0</v>
      </c>
      <c r="E146" s="0" t="n">
        <v>105.25</v>
      </c>
      <c r="F146" s="1" t="n">
        <f aca="false">D146*E146/100</f>
        <v>0</v>
      </c>
      <c r="H146" s="0" t="n">
        <v>0</v>
      </c>
      <c r="I146" s="0" t="s">
        <v>12</v>
      </c>
      <c r="J146" s="0" t="s">
        <v>13</v>
      </c>
      <c r="K146" s="0" t="n">
        <v>41</v>
      </c>
      <c r="L146" s="0" t="n">
        <v>2.33</v>
      </c>
      <c r="M146" s="1" t="n">
        <f aca="false">K146*L146/100</f>
        <v>0.9553</v>
      </c>
      <c r="N146" s="1" t="n">
        <f aca="false">100 * (((K146)/(100)) - ((100-K146)/(L146*100-100)))</f>
        <v>-3.3609022556391</v>
      </c>
    </row>
    <row r="147" customFormat="false" ht="12.8" hidden="false" customHeight="false" outlineLevel="0" collapsed="false">
      <c r="A147" s="0" t="n">
        <v>145</v>
      </c>
      <c r="B147" s="0" t="s">
        <v>89</v>
      </c>
      <c r="C147" s="0" t="s">
        <v>142</v>
      </c>
      <c r="D147" s="0" t="n">
        <v>1</v>
      </c>
      <c r="E147" s="0" t="n">
        <v>76.25</v>
      </c>
      <c r="F147" s="1" t="n">
        <f aca="false">D147*E147/100</f>
        <v>0.7625</v>
      </c>
      <c r="H147" s="0" t="n">
        <v>50</v>
      </c>
      <c r="I147" s="0" t="s">
        <v>63</v>
      </c>
      <c r="J147" s="0" t="s">
        <v>124</v>
      </c>
      <c r="K147" s="0" t="n">
        <v>10</v>
      </c>
      <c r="L147" s="0" t="n">
        <v>7.71</v>
      </c>
      <c r="M147" s="1" t="n">
        <f aca="false">K147*L147/100</f>
        <v>0.771</v>
      </c>
      <c r="N147" s="1" t="n">
        <f aca="false">100 * (((K147)/(100)) - ((100-K147)/(L147*100-100)))</f>
        <v>-3.41281669150522</v>
      </c>
    </row>
    <row r="148" customFormat="false" ht="12.8" hidden="false" customHeight="false" outlineLevel="0" collapsed="false">
      <c r="A148" s="0" t="n">
        <v>146</v>
      </c>
      <c r="B148" s="0" t="s">
        <v>89</v>
      </c>
      <c r="C148" s="0" t="s">
        <v>166</v>
      </c>
      <c r="D148" s="0" t="n">
        <v>0</v>
      </c>
      <c r="E148" s="0" t="n">
        <v>110.25</v>
      </c>
      <c r="F148" s="1" t="n">
        <f aca="false">D148*E148/100</f>
        <v>0</v>
      </c>
      <c r="H148" s="0" t="n">
        <v>58</v>
      </c>
      <c r="I148" s="0" t="s">
        <v>75</v>
      </c>
      <c r="J148" s="0" t="s">
        <v>131</v>
      </c>
      <c r="K148" s="0" t="n">
        <v>2</v>
      </c>
      <c r="L148" s="0" t="n">
        <v>19.05</v>
      </c>
      <c r="M148" s="1" t="n">
        <f aca="false">K148*L148/100</f>
        <v>0.381</v>
      </c>
      <c r="N148" s="1" t="n">
        <f aca="false">100 * (((K148)/(100)) - ((100-K148)/(L148*100-100)))</f>
        <v>-3.42936288088643</v>
      </c>
    </row>
    <row r="149" customFormat="false" ht="12.8" hidden="false" customHeight="false" outlineLevel="0" collapsed="false">
      <c r="A149" s="0" t="n">
        <v>147</v>
      </c>
      <c r="B149" s="0" t="s">
        <v>89</v>
      </c>
      <c r="C149" s="0" t="s">
        <v>158</v>
      </c>
      <c r="D149" s="0" t="n">
        <v>0</v>
      </c>
      <c r="E149" s="0" t="n">
        <v>130.25</v>
      </c>
      <c r="F149" s="1" t="n">
        <f aca="false">D149*E149/100</f>
        <v>0</v>
      </c>
      <c r="H149" s="0" t="n">
        <v>89</v>
      </c>
      <c r="I149" s="0" t="s">
        <v>96</v>
      </c>
      <c r="J149" s="0" t="s">
        <v>170</v>
      </c>
      <c r="K149" s="0" t="n">
        <v>2</v>
      </c>
      <c r="L149" s="0" t="n">
        <v>18.85</v>
      </c>
      <c r="M149" s="1" t="n">
        <f aca="false">K149*L149/100</f>
        <v>0.377</v>
      </c>
      <c r="N149" s="1" t="n">
        <f aca="false">100 * (((K149)/(100)) - ((100-K149)/(L149*100-100)))</f>
        <v>-3.49019607843137</v>
      </c>
    </row>
    <row r="150" customFormat="false" ht="12.8" hidden="false" customHeight="false" outlineLevel="0" collapsed="false">
      <c r="A150" s="0" t="n">
        <v>148</v>
      </c>
      <c r="B150" s="0" t="s">
        <v>89</v>
      </c>
      <c r="C150" s="0" t="s">
        <v>159</v>
      </c>
      <c r="D150" s="0" t="n">
        <v>0</v>
      </c>
      <c r="E150" s="0" t="n">
        <v>130.25</v>
      </c>
      <c r="F150" s="1" t="n">
        <f aca="false">D150*E150/100</f>
        <v>0</v>
      </c>
      <c r="H150" s="0" t="n">
        <v>52</v>
      </c>
      <c r="I150" s="0" t="s">
        <v>63</v>
      </c>
      <c r="J150" s="0" t="s">
        <v>126</v>
      </c>
      <c r="K150" s="0" t="n">
        <v>6</v>
      </c>
      <c r="L150" s="0" t="n">
        <v>10.9</v>
      </c>
      <c r="M150" s="1" t="n">
        <f aca="false">K150*L150/100</f>
        <v>0.654</v>
      </c>
      <c r="N150" s="1" t="n">
        <f aca="false">100 * (((K150)/(100)) - ((100-K150)/(L150*100-100)))</f>
        <v>-3.4949494949495</v>
      </c>
    </row>
    <row r="151" customFormat="false" ht="12.8" hidden="false" customHeight="false" outlineLevel="0" collapsed="false">
      <c r="A151" s="0" t="n">
        <v>149</v>
      </c>
      <c r="B151" s="0" t="s">
        <v>89</v>
      </c>
      <c r="C151" s="0" t="s">
        <v>161</v>
      </c>
      <c r="D151" s="0" t="n">
        <v>0</v>
      </c>
      <c r="E151" s="0" t="n">
        <v>130.25</v>
      </c>
      <c r="F151" s="1" t="n">
        <f aca="false">D151*E151/100</f>
        <v>0</v>
      </c>
      <c r="H151" s="0" t="n">
        <v>16</v>
      </c>
      <c r="I151" s="0" t="s">
        <v>60</v>
      </c>
      <c r="J151" s="0" t="s">
        <v>65</v>
      </c>
      <c r="K151" s="0" t="n">
        <v>4</v>
      </c>
      <c r="L151" s="0" t="n">
        <v>13.75</v>
      </c>
      <c r="M151" s="1" t="n">
        <f aca="false">K151*L151/100</f>
        <v>0.55</v>
      </c>
      <c r="N151" s="1" t="n">
        <f aca="false">100 * (((K151)/(100)) - ((100-K151)/(L151*100-100)))</f>
        <v>-3.52941176470588</v>
      </c>
    </row>
    <row r="152" customFormat="false" ht="12.8" hidden="false" customHeight="false" outlineLevel="0" collapsed="false">
      <c r="A152" s="0" t="n">
        <v>150</v>
      </c>
      <c r="B152" s="0" t="s">
        <v>89</v>
      </c>
      <c r="C152" s="0" t="s">
        <v>144</v>
      </c>
      <c r="D152" s="0" t="n">
        <v>2</v>
      </c>
      <c r="E152" s="0" t="n">
        <v>42.75</v>
      </c>
      <c r="F152" s="1" t="n">
        <f aca="false">D152*E152/100</f>
        <v>0.855</v>
      </c>
      <c r="H152" s="0" t="n">
        <v>96</v>
      </c>
      <c r="I152" s="0" t="s">
        <v>177</v>
      </c>
      <c r="J152" s="0" t="n">
        <v>1</v>
      </c>
      <c r="K152" s="0" t="n">
        <v>24</v>
      </c>
      <c r="L152" s="0" t="n">
        <v>3.76</v>
      </c>
      <c r="M152" s="1" t="n">
        <f aca="false">K152*L152/100</f>
        <v>0.9024</v>
      </c>
      <c r="N152" s="1" t="n">
        <f aca="false">100 * (((K152)/(100)) - ((100-K152)/(L152*100-100)))</f>
        <v>-3.53623188405797</v>
      </c>
    </row>
    <row r="153" customFormat="false" ht="12.8" hidden="false" customHeight="false" outlineLevel="0" collapsed="false">
      <c r="A153" s="0" t="n">
        <v>151</v>
      </c>
      <c r="B153" s="0" t="s">
        <v>93</v>
      </c>
      <c r="C153" s="0" t="s">
        <v>148</v>
      </c>
      <c r="D153" s="0" t="n">
        <v>20</v>
      </c>
      <c r="E153" s="0" t="n">
        <v>3.91</v>
      </c>
      <c r="F153" s="1" t="n">
        <f aca="false">D153*E153/100</f>
        <v>0.782</v>
      </c>
      <c r="H153" s="0" t="n">
        <v>56</v>
      </c>
      <c r="I153" s="0" t="s">
        <v>75</v>
      </c>
      <c r="J153" s="0" t="s">
        <v>129</v>
      </c>
      <c r="K153" s="0" t="n">
        <v>4</v>
      </c>
      <c r="L153" s="0" t="n">
        <v>13.7</v>
      </c>
      <c r="M153" s="1" t="n">
        <f aca="false">K153*L153/100</f>
        <v>0.548</v>
      </c>
      <c r="N153" s="1" t="n">
        <f aca="false">100 * (((K153)/(100)) - ((100-K153)/(L153*100-100)))</f>
        <v>-3.55905511811024</v>
      </c>
    </row>
    <row r="154" customFormat="false" ht="12.8" hidden="false" customHeight="false" outlineLevel="0" collapsed="false">
      <c r="A154" s="0" t="n">
        <v>152</v>
      </c>
      <c r="B154" s="0" t="s">
        <v>93</v>
      </c>
      <c r="C154" s="0" t="s">
        <v>221</v>
      </c>
      <c r="D154" s="0" t="n">
        <v>21</v>
      </c>
      <c r="E154" s="0" t="n">
        <v>3.16</v>
      </c>
      <c r="F154" s="1" t="n">
        <f aca="false">D154*E154/100</f>
        <v>0.6636</v>
      </c>
      <c r="H154" s="0" t="n">
        <v>105</v>
      </c>
      <c r="I154" s="0" t="s">
        <v>53</v>
      </c>
      <c r="J154" s="0" t="s">
        <v>55</v>
      </c>
      <c r="K154" s="0" t="n">
        <v>8</v>
      </c>
      <c r="L154" s="0" t="n">
        <v>8.9</v>
      </c>
      <c r="M154" s="1" t="n">
        <f aca="false">K154*L154/100</f>
        <v>0.712</v>
      </c>
      <c r="N154" s="1" t="n">
        <f aca="false">100 * (((K154)/(100)) - ((100-K154)/(L154*100-100)))</f>
        <v>-3.64556962025316</v>
      </c>
    </row>
    <row r="155" customFormat="false" ht="12.8" hidden="false" customHeight="false" outlineLevel="0" collapsed="false">
      <c r="A155" s="0" t="n">
        <v>153</v>
      </c>
      <c r="B155" s="0" t="s">
        <v>93</v>
      </c>
      <c r="C155" s="0" t="s">
        <v>222</v>
      </c>
      <c r="D155" s="0" t="n">
        <v>19</v>
      </c>
      <c r="E155" s="0" t="n">
        <v>3.55</v>
      </c>
      <c r="F155" s="1" t="n">
        <f aca="false">D155*E155/100</f>
        <v>0.6745</v>
      </c>
      <c r="H155" s="0" t="n">
        <v>194</v>
      </c>
      <c r="I155" s="0" t="s">
        <v>78</v>
      </c>
      <c r="J155" s="0" t="s">
        <v>223</v>
      </c>
      <c r="K155" s="0" t="n">
        <v>2</v>
      </c>
      <c r="L155" s="0" t="n">
        <v>18.25</v>
      </c>
      <c r="M155" s="1" t="n">
        <f aca="false">K155*L155/100</f>
        <v>0.365</v>
      </c>
      <c r="N155" s="1" t="n">
        <f aca="false">100 * (((K155)/(100)) - ((100-K155)/(L155*100-100)))</f>
        <v>-3.68115942028985</v>
      </c>
    </row>
    <row r="156" customFormat="false" ht="12.8" hidden="false" customHeight="false" outlineLevel="0" collapsed="false">
      <c r="A156" s="0" t="n">
        <v>154</v>
      </c>
      <c r="B156" s="0" t="s">
        <v>93</v>
      </c>
      <c r="C156" s="0" t="s">
        <v>94</v>
      </c>
      <c r="D156" s="0" t="n">
        <v>15</v>
      </c>
      <c r="E156" s="0" t="n">
        <v>7.62</v>
      </c>
      <c r="F156" s="1" t="n">
        <f aca="false">D156*E156/100</f>
        <v>1.143</v>
      </c>
      <c r="H156" s="0" t="n">
        <v>195</v>
      </c>
      <c r="I156" s="0" t="s">
        <v>78</v>
      </c>
      <c r="J156" s="0" t="s">
        <v>224</v>
      </c>
      <c r="K156" s="0" t="n">
        <v>2</v>
      </c>
      <c r="L156" s="0" t="n">
        <v>18.25</v>
      </c>
      <c r="M156" s="1" t="n">
        <f aca="false">K156*L156/100</f>
        <v>0.365</v>
      </c>
      <c r="N156" s="1" t="n">
        <f aca="false">100 * (((K156)/(100)) - ((100-K156)/(L156*100-100)))</f>
        <v>-3.68115942028985</v>
      </c>
    </row>
    <row r="157" customFormat="false" ht="12.8" hidden="false" customHeight="false" outlineLevel="0" collapsed="false">
      <c r="A157" s="0" t="n">
        <v>155</v>
      </c>
      <c r="B157" s="0" t="s">
        <v>93</v>
      </c>
      <c r="C157" s="0" t="s">
        <v>208</v>
      </c>
      <c r="D157" s="0" t="n">
        <v>11</v>
      </c>
      <c r="E157" s="0" t="n">
        <v>4.82</v>
      </c>
      <c r="F157" s="1" t="n">
        <f aca="false">D157*E157/100</f>
        <v>0.5302</v>
      </c>
      <c r="H157" s="0" t="n">
        <v>37</v>
      </c>
      <c r="I157" s="0" t="s">
        <v>69</v>
      </c>
      <c r="J157" s="0" t="s">
        <v>105</v>
      </c>
      <c r="K157" s="0" t="n">
        <v>8</v>
      </c>
      <c r="L157" s="0" t="n">
        <v>8.87</v>
      </c>
      <c r="M157" s="1" t="n">
        <f aca="false">K157*L157/100</f>
        <v>0.7096</v>
      </c>
      <c r="N157" s="1" t="n">
        <f aca="false">100 * (((K157)/(100)) - ((100-K157)/(L157*100-100)))</f>
        <v>-3.68996188055909</v>
      </c>
    </row>
    <row r="158" customFormat="false" ht="12.8" hidden="false" customHeight="false" outlineLevel="0" collapsed="false">
      <c r="A158" s="0" t="n">
        <v>156</v>
      </c>
      <c r="B158" s="0" t="s">
        <v>93</v>
      </c>
      <c r="C158" s="0" t="s">
        <v>225</v>
      </c>
      <c r="D158" s="0" t="n">
        <v>14</v>
      </c>
      <c r="E158" s="0" t="n">
        <v>4.01</v>
      </c>
      <c r="F158" s="1" t="n">
        <f aca="false">D158*E158/100</f>
        <v>0.5614</v>
      </c>
      <c r="H158" s="0" t="n">
        <v>174</v>
      </c>
      <c r="I158" s="0" t="s">
        <v>99</v>
      </c>
      <c r="J158" s="0" t="s">
        <v>216</v>
      </c>
      <c r="K158" s="0" t="n">
        <v>2</v>
      </c>
      <c r="L158" s="0" t="n">
        <v>18.2</v>
      </c>
      <c r="M158" s="1" t="n">
        <f aca="false">K158*L158/100</f>
        <v>0.364</v>
      </c>
      <c r="N158" s="1" t="n">
        <f aca="false">100 * (((K158)/(100)) - ((100-K158)/(L158*100-100)))</f>
        <v>-3.69767441860465</v>
      </c>
    </row>
    <row r="159" customFormat="false" ht="12.8" hidden="false" customHeight="false" outlineLevel="0" collapsed="false">
      <c r="A159" s="0" t="n">
        <v>157</v>
      </c>
      <c r="B159" s="0" t="s">
        <v>147</v>
      </c>
      <c r="C159" s="0" t="s">
        <v>148</v>
      </c>
      <c r="D159" s="0" t="n">
        <v>5</v>
      </c>
      <c r="E159" s="0" t="n">
        <v>18.25</v>
      </c>
      <c r="F159" s="1" t="n">
        <f aca="false">D159*E159/100</f>
        <v>0.9125</v>
      </c>
      <c r="H159" s="0" t="n">
        <v>26</v>
      </c>
      <c r="I159" s="0" t="s">
        <v>29</v>
      </c>
      <c r="J159" s="0" t="s">
        <v>25</v>
      </c>
      <c r="K159" s="0" t="n">
        <v>36</v>
      </c>
      <c r="L159" s="0" t="n">
        <v>2.61</v>
      </c>
      <c r="M159" s="1" t="n">
        <f aca="false">K159*L159/100</f>
        <v>0.9396</v>
      </c>
      <c r="N159" s="0" t="n">
        <f aca="false">100 * (((K159)/(100)) - ((100-K159)/(L159*100-100)))</f>
        <v>-3.75155279503105</v>
      </c>
    </row>
    <row r="160" customFormat="false" ht="12.8" hidden="false" customHeight="false" outlineLevel="0" collapsed="false">
      <c r="A160" s="0" t="n">
        <v>158</v>
      </c>
      <c r="B160" s="0" t="s">
        <v>147</v>
      </c>
      <c r="C160" s="0" t="s">
        <v>221</v>
      </c>
      <c r="D160" s="0" t="n">
        <v>27</v>
      </c>
      <c r="E160" s="0" t="n">
        <v>2.98</v>
      </c>
      <c r="F160" s="1" t="n">
        <f aca="false">D160*E160/100</f>
        <v>0.8046</v>
      </c>
      <c r="H160" s="0" t="n">
        <v>192</v>
      </c>
      <c r="I160" s="0" t="s">
        <v>78</v>
      </c>
      <c r="J160" s="0" t="s">
        <v>226</v>
      </c>
      <c r="K160" s="0" t="n">
        <v>0</v>
      </c>
      <c r="L160" s="0" t="n">
        <v>25.75</v>
      </c>
      <c r="M160" s="1" t="n">
        <f aca="false">K160*L160/100</f>
        <v>0</v>
      </c>
      <c r="N160" s="1" t="n">
        <f aca="false">100 * (((K160)/(100)) - ((100-K160)/(L160*100-100)))</f>
        <v>-4.04040404040404</v>
      </c>
    </row>
    <row r="161" customFormat="false" ht="12.8" hidden="false" customHeight="false" outlineLevel="0" collapsed="false">
      <c r="A161" s="0" t="n">
        <v>159</v>
      </c>
      <c r="B161" s="0" t="s">
        <v>147</v>
      </c>
      <c r="C161" s="0" t="s">
        <v>222</v>
      </c>
      <c r="D161" s="0" t="n">
        <v>11</v>
      </c>
      <c r="E161" s="0" t="n">
        <v>6.79</v>
      </c>
      <c r="F161" s="1" t="n">
        <f aca="false">D161*E161/100</f>
        <v>0.7469</v>
      </c>
      <c r="H161" s="0" t="n">
        <v>15</v>
      </c>
      <c r="I161" s="0" t="s">
        <v>60</v>
      </c>
      <c r="J161" s="0" t="s">
        <v>61</v>
      </c>
      <c r="K161" s="0" t="n">
        <v>25</v>
      </c>
      <c r="L161" s="0" t="n">
        <v>3.58</v>
      </c>
      <c r="M161" s="1" t="n">
        <f aca="false">K161*L161/100</f>
        <v>0.895</v>
      </c>
      <c r="N161" s="1" t="n">
        <f aca="false">100 * (((K161)/(100)) - ((100-K161)/(L161*100-100)))</f>
        <v>-4.06976744186047</v>
      </c>
    </row>
    <row r="162" customFormat="false" ht="12.8" hidden="false" customHeight="false" outlineLevel="0" collapsed="false">
      <c r="A162" s="0" t="n">
        <v>160</v>
      </c>
      <c r="B162" s="0" t="s">
        <v>147</v>
      </c>
      <c r="C162" s="0" t="s">
        <v>94</v>
      </c>
      <c r="D162" s="0" t="n">
        <v>36</v>
      </c>
      <c r="E162" s="0" t="n">
        <v>2.4</v>
      </c>
      <c r="F162" s="1" t="n">
        <f aca="false">D162*E162/100</f>
        <v>0.864</v>
      </c>
      <c r="H162" s="0" t="n">
        <v>233</v>
      </c>
      <c r="I162" s="0" t="s">
        <v>198</v>
      </c>
      <c r="J162" s="0" t="s">
        <v>227</v>
      </c>
      <c r="K162" s="0" t="n">
        <v>17</v>
      </c>
      <c r="L162" s="0" t="n">
        <v>4.93</v>
      </c>
      <c r="M162" s="1" t="n">
        <f aca="false">K162*L162/100</f>
        <v>0.8381</v>
      </c>
      <c r="N162" s="1" t="n">
        <f aca="false">100 * (((K162)/(100)) - ((100-K162)/(L162*100-100)))</f>
        <v>-4.11959287531807</v>
      </c>
    </row>
    <row r="163" customFormat="false" ht="12.8" hidden="false" customHeight="false" outlineLevel="0" collapsed="false">
      <c r="A163" s="0" t="n">
        <v>161</v>
      </c>
      <c r="B163" s="0" t="s">
        <v>147</v>
      </c>
      <c r="C163" s="0" t="s">
        <v>208</v>
      </c>
      <c r="D163" s="0" t="n">
        <v>2</v>
      </c>
      <c r="E163" s="0" t="n">
        <v>22.1</v>
      </c>
      <c r="F163" s="1" t="n">
        <f aca="false">D163*E163/100</f>
        <v>0.442</v>
      </c>
      <c r="H163" s="0" t="n">
        <v>47</v>
      </c>
      <c r="I163" s="0" t="s">
        <v>63</v>
      </c>
      <c r="J163" s="0" t="s">
        <v>121</v>
      </c>
      <c r="K163" s="0" t="n">
        <v>31</v>
      </c>
      <c r="L163" s="0" t="n">
        <v>2.96</v>
      </c>
      <c r="M163" s="1" t="n">
        <f aca="false">K163*L163/100</f>
        <v>0.9176</v>
      </c>
      <c r="N163" s="1" t="n">
        <f aca="false">100 * (((K163)/(100)) - ((100-K163)/(L163*100-100)))</f>
        <v>-4.20408163265306</v>
      </c>
    </row>
    <row r="164" customFormat="false" ht="12.8" hidden="false" customHeight="false" outlineLevel="0" collapsed="false">
      <c r="A164" s="0" t="n">
        <v>162</v>
      </c>
      <c r="B164" s="0" t="s">
        <v>147</v>
      </c>
      <c r="C164" s="0" t="s">
        <v>225</v>
      </c>
      <c r="D164" s="0" t="n">
        <v>19</v>
      </c>
      <c r="E164" s="0" t="n">
        <v>3.57</v>
      </c>
      <c r="F164" s="1" t="n">
        <f aca="false">D164*E164/100</f>
        <v>0.6783</v>
      </c>
      <c r="H164" s="0" t="n">
        <v>227</v>
      </c>
      <c r="I164" s="0" t="s">
        <v>218</v>
      </c>
      <c r="J164" s="0" t="s">
        <v>67</v>
      </c>
      <c r="K164" s="0" t="n">
        <v>55</v>
      </c>
      <c r="L164" s="0" t="n">
        <v>1.76</v>
      </c>
      <c r="M164" s="1" t="n">
        <f aca="false">K164*L164/100</f>
        <v>0.968</v>
      </c>
      <c r="N164" s="1" t="n">
        <f aca="false">100 * (((K164)/(100)) - ((100-K164)/(L164*100-100)))</f>
        <v>-4.21052631578946</v>
      </c>
    </row>
    <row r="165" customFormat="false" ht="12.8" hidden="false" customHeight="false" outlineLevel="0" collapsed="false">
      <c r="A165" s="0" t="n">
        <v>163</v>
      </c>
      <c r="B165" s="0" t="s">
        <v>102</v>
      </c>
      <c r="C165" s="0" t="s">
        <v>152</v>
      </c>
      <c r="D165" s="0" t="n">
        <v>17</v>
      </c>
      <c r="E165" s="0" t="n">
        <v>5.67</v>
      </c>
      <c r="F165" s="1" t="n">
        <f aca="false">D165*E165/100</f>
        <v>0.9639</v>
      </c>
      <c r="H165" s="0" t="n">
        <v>173</v>
      </c>
      <c r="I165" s="0" t="s">
        <v>99</v>
      </c>
      <c r="J165" s="0" t="s">
        <v>215</v>
      </c>
      <c r="K165" s="0" t="n">
        <v>17</v>
      </c>
      <c r="L165" s="0" t="n">
        <v>4.9</v>
      </c>
      <c r="M165" s="1" t="n">
        <f aca="false">K165*L165/100</f>
        <v>0.833</v>
      </c>
      <c r="N165" s="1" t="n">
        <f aca="false">100 * (((K165)/(100)) - ((100-K165)/(L165*100-100)))</f>
        <v>-4.28205128205128</v>
      </c>
    </row>
    <row r="166" customFormat="false" ht="12.8" hidden="false" customHeight="false" outlineLevel="0" collapsed="false">
      <c r="A166" s="0" t="n">
        <v>164</v>
      </c>
      <c r="B166" s="0" t="s">
        <v>102</v>
      </c>
      <c r="C166" s="0" t="s">
        <v>228</v>
      </c>
      <c r="D166" s="0" t="n">
        <v>33</v>
      </c>
      <c r="E166" s="0" t="n">
        <v>2.27</v>
      </c>
      <c r="F166" s="1" t="n">
        <f aca="false">D166*E166/100</f>
        <v>0.7491</v>
      </c>
      <c r="H166" s="0" t="n">
        <v>234</v>
      </c>
      <c r="I166" s="0" t="s">
        <v>198</v>
      </c>
      <c r="J166" s="0" t="s">
        <v>229</v>
      </c>
      <c r="K166" s="0" t="n">
        <v>10</v>
      </c>
      <c r="L166" s="0" t="n">
        <v>7.3</v>
      </c>
      <c r="M166" s="1" t="n">
        <f aca="false">K166*L166/100</f>
        <v>0.73</v>
      </c>
      <c r="N166" s="1" t="n">
        <f aca="false">100 * (((K166)/(100)) - ((100-K166)/(L166*100-100)))</f>
        <v>-4.28571428571429</v>
      </c>
    </row>
    <row r="167" customFormat="false" ht="12.8" hidden="false" customHeight="false" outlineLevel="0" collapsed="false">
      <c r="A167" s="0" t="n">
        <v>165</v>
      </c>
      <c r="B167" s="0" t="s">
        <v>102</v>
      </c>
      <c r="C167" s="0" t="s">
        <v>103</v>
      </c>
      <c r="D167" s="0" t="n">
        <v>47</v>
      </c>
      <c r="E167" s="0" t="n">
        <v>2.14</v>
      </c>
      <c r="F167" s="1" t="n">
        <f aca="false">D167*E167/100</f>
        <v>1.0058</v>
      </c>
      <c r="H167" s="0" t="n">
        <v>159</v>
      </c>
      <c r="I167" s="0" t="s">
        <v>147</v>
      </c>
      <c r="J167" s="0" t="s">
        <v>222</v>
      </c>
      <c r="K167" s="0" t="n">
        <v>11</v>
      </c>
      <c r="L167" s="0" t="n">
        <v>6.79</v>
      </c>
      <c r="M167" s="1" t="n">
        <f aca="false">K167*L167/100</f>
        <v>0.7469</v>
      </c>
      <c r="N167" s="1" t="n">
        <f aca="false">100 * (((K167)/(100)) - ((100-K167)/(L167*100-100)))</f>
        <v>-4.3713298791019</v>
      </c>
    </row>
    <row r="168" customFormat="false" ht="12.8" hidden="false" customHeight="false" outlineLevel="0" collapsed="false">
      <c r="A168" s="0" t="n">
        <v>166</v>
      </c>
      <c r="B168" s="0" t="s">
        <v>102</v>
      </c>
      <c r="C168" s="0" t="s">
        <v>230</v>
      </c>
      <c r="D168" s="0" t="n">
        <v>3</v>
      </c>
      <c r="E168" s="0" t="n">
        <v>9.68</v>
      </c>
      <c r="F168" s="1" t="n">
        <f aca="false">D168*E168/100</f>
        <v>0.2904</v>
      </c>
      <c r="H168" s="0" t="n">
        <v>103</v>
      </c>
      <c r="I168" s="0" t="s">
        <v>51</v>
      </c>
      <c r="J168" s="0" t="s">
        <v>55</v>
      </c>
      <c r="K168" s="0" t="n">
        <v>11</v>
      </c>
      <c r="L168" s="0" t="n">
        <v>6.77</v>
      </c>
      <c r="M168" s="1" t="n">
        <f aca="false">K168*L168/100</f>
        <v>0.7447</v>
      </c>
      <c r="N168" s="1" t="n">
        <f aca="false">100 * (((K168)/(100)) - ((100-K168)/(L168*100-100)))</f>
        <v>-4.42461005199307</v>
      </c>
    </row>
    <row r="169" customFormat="false" ht="12.8" hidden="false" customHeight="false" outlineLevel="0" collapsed="false">
      <c r="A169" s="0" t="n">
        <v>167</v>
      </c>
      <c r="B169" s="0" t="s">
        <v>99</v>
      </c>
      <c r="C169" s="0" t="s">
        <v>90</v>
      </c>
      <c r="D169" s="0" t="n">
        <v>36</v>
      </c>
      <c r="E169" s="0" t="n">
        <v>2.55</v>
      </c>
      <c r="F169" s="1" t="n">
        <f aca="false">D169*E169/100</f>
        <v>0.918</v>
      </c>
      <c r="H169" s="0" t="n">
        <v>114</v>
      </c>
      <c r="I169" s="0" t="s">
        <v>81</v>
      </c>
      <c r="J169" s="0" t="s">
        <v>195</v>
      </c>
      <c r="K169" s="0" t="n">
        <v>7</v>
      </c>
      <c r="L169" s="0" t="n">
        <v>9.13</v>
      </c>
      <c r="M169" s="1" t="n">
        <f aca="false">K169*L169/100</f>
        <v>0.6391</v>
      </c>
      <c r="N169" s="1" t="n">
        <f aca="false">100 * (((K169)/(100)) - ((100-K169)/(L169*100-100)))</f>
        <v>-4.43911439114391</v>
      </c>
    </row>
    <row r="170" customFormat="false" ht="12.8" hidden="false" customHeight="false" outlineLevel="0" collapsed="false">
      <c r="A170" s="0" t="n">
        <v>168</v>
      </c>
      <c r="B170" s="0" t="s">
        <v>99</v>
      </c>
      <c r="C170" s="0" t="s">
        <v>211</v>
      </c>
      <c r="D170" s="0" t="n">
        <v>10</v>
      </c>
      <c r="E170" s="0" t="n">
        <v>7.98</v>
      </c>
      <c r="F170" s="1" t="n">
        <f aca="false">D170*E170/100</f>
        <v>0.798</v>
      </c>
      <c r="H170" s="0" t="n">
        <v>109</v>
      </c>
      <c r="I170" s="0" t="s">
        <v>27</v>
      </c>
      <c r="J170" s="0" t="s">
        <v>133</v>
      </c>
      <c r="K170" s="0" t="n">
        <v>68</v>
      </c>
      <c r="L170" s="0" t="n">
        <v>1.44</v>
      </c>
      <c r="M170" s="1" t="n">
        <f aca="false">K170*L170/100</f>
        <v>0.9792</v>
      </c>
      <c r="N170" s="1" t="n">
        <f aca="false">100 * (((K170)/(100)) - ((100-K170)/(L170*100-100)))</f>
        <v>-4.72727272727273</v>
      </c>
    </row>
    <row r="171" customFormat="false" ht="12.8" hidden="false" customHeight="false" outlineLevel="0" collapsed="false">
      <c r="A171" s="0" t="n">
        <v>169</v>
      </c>
      <c r="B171" s="0" t="s">
        <v>99</v>
      </c>
      <c r="C171" s="0" t="s">
        <v>151</v>
      </c>
      <c r="D171" s="0" t="n">
        <v>1</v>
      </c>
      <c r="E171" s="0" t="n">
        <v>64.25</v>
      </c>
      <c r="F171" s="1" t="n">
        <f aca="false">D171*E171/100</f>
        <v>0.6425</v>
      </c>
      <c r="H171" s="0" t="n">
        <v>35</v>
      </c>
      <c r="I171" s="0" t="s">
        <v>69</v>
      </c>
      <c r="J171" s="0" t="s">
        <v>101</v>
      </c>
      <c r="K171" s="0" t="n">
        <v>9</v>
      </c>
      <c r="L171" s="0" t="n">
        <v>7.61</v>
      </c>
      <c r="M171" s="1" t="n">
        <f aca="false">K171*L171/100</f>
        <v>0.6849</v>
      </c>
      <c r="N171" s="1" t="n">
        <f aca="false">100 * (((K171)/(100)) - ((100-K171)/(L171*100-100)))</f>
        <v>-4.76701966717095</v>
      </c>
    </row>
    <row r="172" customFormat="false" ht="12.8" hidden="false" customHeight="false" outlineLevel="0" collapsed="false">
      <c r="A172" s="0" t="n">
        <v>170</v>
      </c>
      <c r="B172" s="0" t="s">
        <v>99</v>
      </c>
      <c r="C172" s="0" t="s">
        <v>202</v>
      </c>
      <c r="D172" s="0" t="n">
        <v>22</v>
      </c>
      <c r="E172" s="0" t="n">
        <v>4.23</v>
      </c>
      <c r="F172" s="1" t="n">
        <f aca="false">D172*E172/100</f>
        <v>0.9306</v>
      </c>
      <c r="H172" s="0" t="n">
        <v>112</v>
      </c>
      <c r="I172" s="0" t="s">
        <v>81</v>
      </c>
      <c r="J172" s="0" t="s">
        <v>192</v>
      </c>
      <c r="K172" s="0" t="n">
        <v>22</v>
      </c>
      <c r="L172" s="0" t="n">
        <v>3.89</v>
      </c>
      <c r="M172" s="1" t="n">
        <f aca="false">K172*L172/100</f>
        <v>0.8558</v>
      </c>
      <c r="N172" s="1" t="n">
        <f aca="false">100 * (((K172)/(100)) - ((100-K172)/(L172*100-100)))</f>
        <v>-4.98961937716263</v>
      </c>
    </row>
    <row r="173" customFormat="false" ht="12.8" hidden="false" customHeight="false" outlineLevel="0" collapsed="false">
      <c r="A173" s="0" t="n">
        <v>171</v>
      </c>
      <c r="B173" s="0" t="s">
        <v>99</v>
      </c>
      <c r="C173" s="0" t="s">
        <v>108</v>
      </c>
      <c r="D173" s="0" t="n">
        <v>5</v>
      </c>
      <c r="E173" s="0" t="n">
        <v>13.35</v>
      </c>
      <c r="F173" s="1" t="n">
        <f aca="false">D173*E173/100</f>
        <v>0.6675</v>
      </c>
      <c r="H173" s="0" t="n">
        <v>232</v>
      </c>
      <c r="I173" s="0" t="s">
        <v>198</v>
      </c>
      <c r="J173" s="0" t="s">
        <v>231</v>
      </c>
      <c r="K173" s="0" t="n">
        <v>36</v>
      </c>
      <c r="L173" s="0" t="n">
        <v>2.56</v>
      </c>
      <c r="M173" s="1" t="n">
        <f aca="false">K173*L173/100</f>
        <v>0.9216</v>
      </c>
      <c r="N173" s="1" t="n">
        <f aca="false">100 * (((K173)/(100)) - ((100-K173)/(L173*100-100)))</f>
        <v>-5.02564102564103</v>
      </c>
    </row>
    <row r="174" customFormat="false" ht="12.8" hidden="false" customHeight="false" outlineLevel="0" collapsed="false">
      <c r="A174" s="0" t="n">
        <v>172</v>
      </c>
      <c r="B174" s="0" t="s">
        <v>99</v>
      </c>
      <c r="C174" s="0" t="s">
        <v>100</v>
      </c>
      <c r="D174" s="0" t="n">
        <v>5</v>
      </c>
      <c r="E174" s="0" t="n">
        <v>25.75</v>
      </c>
      <c r="F174" s="1" t="n">
        <f aca="false">D174*E174/100</f>
        <v>1.2875</v>
      </c>
      <c r="H174" s="0" t="n">
        <v>176</v>
      </c>
      <c r="I174" s="0" t="s">
        <v>99</v>
      </c>
      <c r="J174" s="0" t="s">
        <v>144</v>
      </c>
      <c r="K174" s="0" t="n">
        <v>0</v>
      </c>
      <c r="L174" s="0" t="n">
        <v>20.85</v>
      </c>
      <c r="M174" s="1" t="n">
        <f aca="false">K174*L174/100</f>
        <v>0</v>
      </c>
      <c r="N174" s="1" t="n">
        <f aca="false">100 * (((K174)/(100)) - ((100-K174)/(L174*100-100)))</f>
        <v>-5.03778337531486</v>
      </c>
    </row>
    <row r="175" customFormat="false" ht="12.8" hidden="false" customHeight="false" outlineLevel="0" collapsed="false">
      <c r="A175" s="0" t="n">
        <v>173</v>
      </c>
      <c r="B175" s="0" t="s">
        <v>99</v>
      </c>
      <c r="C175" s="0" t="s">
        <v>215</v>
      </c>
      <c r="D175" s="0" t="n">
        <v>17</v>
      </c>
      <c r="E175" s="0" t="n">
        <v>4.9</v>
      </c>
      <c r="F175" s="1" t="n">
        <f aca="false">D175*E175/100</f>
        <v>0.833</v>
      </c>
      <c r="H175" s="0" t="n">
        <v>225</v>
      </c>
      <c r="I175" s="0" t="s">
        <v>56</v>
      </c>
      <c r="J175" s="0" t="s">
        <v>232</v>
      </c>
      <c r="K175" s="0" t="n">
        <v>18</v>
      </c>
      <c r="L175" s="0" t="n">
        <v>4.54</v>
      </c>
      <c r="M175" s="1" t="n">
        <f aca="false">K175*L175/100</f>
        <v>0.8172</v>
      </c>
      <c r="N175" s="1" t="n">
        <f aca="false">100 * (((K175)/(100)) - ((100-K175)/(L175*100-100)))</f>
        <v>-5.16384180790961</v>
      </c>
    </row>
    <row r="176" customFormat="false" ht="12.8" hidden="false" customHeight="false" outlineLevel="0" collapsed="false">
      <c r="A176" s="0" t="n">
        <v>174</v>
      </c>
      <c r="B176" s="0" t="s">
        <v>99</v>
      </c>
      <c r="C176" s="0" t="s">
        <v>216</v>
      </c>
      <c r="D176" s="0" t="n">
        <v>2</v>
      </c>
      <c r="E176" s="0" t="n">
        <v>18.2</v>
      </c>
      <c r="F176" s="1" t="n">
        <f aca="false">D176*E176/100</f>
        <v>0.364</v>
      </c>
      <c r="H176" s="0" t="n">
        <v>167</v>
      </c>
      <c r="I176" s="0" t="s">
        <v>99</v>
      </c>
      <c r="J176" s="0" t="s">
        <v>90</v>
      </c>
      <c r="K176" s="0" t="n">
        <v>36</v>
      </c>
      <c r="L176" s="0" t="n">
        <v>2.55</v>
      </c>
      <c r="M176" s="1" t="n">
        <f aca="false">K176*L176/100</f>
        <v>0.918</v>
      </c>
      <c r="N176" s="1" t="n">
        <f aca="false">100 * (((K176)/(100)) - ((100-K176)/(L176*100-100)))</f>
        <v>-5.29032258064517</v>
      </c>
    </row>
    <row r="177" customFormat="false" ht="12.8" hidden="false" customHeight="false" outlineLevel="0" collapsed="false">
      <c r="A177" s="0" t="n">
        <v>175</v>
      </c>
      <c r="B177" s="0" t="s">
        <v>99</v>
      </c>
      <c r="C177" s="0" t="s">
        <v>184</v>
      </c>
      <c r="D177" s="0" t="n">
        <v>2</v>
      </c>
      <c r="E177" s="0" t="n">
        <v>30.25</v>
      </c>
      <c r="F177" s="1" t="n">
        <f aca="false">D177*E177/100</f>
        <v>0.605</v>
      </c>
      <c r="H177" s="0" t="n">
        <v>39</v>
      </c>
      <c r="I177" s="0" t="s">
        <v>69</v>
      </c>
      <c r="J177" s="0" t="s">
        <v>109</v>
      </c>
      <c r="K177" s="0" t="n">
        <v>19</v>
      </c>
      <c r="L177" s="0" t="n">
        <v>4.31</v>
      </c>
      <c r="M177" s="1" t="n">
        <f aca="false">K177*L177/100</f>
        <v>0.8189</v>
      </c>
      <c r="N177" s="1" t="n">
        <f aca="false">100 * (((K177)/(100)) - ((100-K177)/(L177*100-100)))</f>
        <v>-5.47129909365559</v>
      </c>
    </row>
    <row r="178" customFormat="false" ht="12.8" hidden="false" customHeight="false" outlineLevel="0" collapsed="false">
      <c r="A178" s="0" t="n">
        <v>176</v>
      </c>
      <c r="B178" s="0" t="s">
        <v>99</v>
      </c>
      <c r="C178" s="0" t="s">
        <v>144</v>
      </c>
      <c r="D178" s="0" t="n">
        <v>0</v>
      </c>
      <c r="E178" s="0" t="n">
        <v>20.85</v>
      </c>
      <c r="F178" s="1" t="n">
        <f aca="false">D178*E178/100</f>
        <v>0</v>
      </c>
      <c r="H178" s="0" t="n">
        <v>125</v>
      </c>
      <c r="I178" s="0" t="s">
        <v>89</v>
      </c>
      <c r="J178" s="0" t="s">
        <v>206</v>
      </c>
      <c r="K178" s="0" t="n">
        <v>0</v>
      </c>
      <c r="L178" s="0" t="n">
        <v>19.2</v>
      </c>
      <c r="M178" s="1" t="n">
        <f aca="false">K178*L178/100</f>
        <v>0</v>
      </c>
      <c r="N178" s="1" t="n">
        <f aca="false">100 * (((K178)/(100)) - ((100-K178)/(L178*100-100)))</f>
        <v>-5.49450549450549</v>
      </c>
    </row>
    <row r="179" customFormat="false" ht="12.8" hidden="false" customHeight="false" outlineLevel="0" collapsed="false">
      <c r="A179" s="0" t="n">
        <v>177</v>
      </c>
      <c r="B179" s="0" t="s">
        <v>78</v>
      </c>
      <c r="C179" s="0" t="s">
        <v>88</v>
      </c>
      <c r="D179" s="0" t="n">
        <v>15</v>
      </c>
      <c r="E179" s="0" t="n">
        <v>7.8</v>
      </c>
      <c r="F179" s="1" t="n">
        <f aca="false">D179*E179/100</f>
        <v>1.17</v>
      </c>
      <c r="H179" s="0" t="n">
        <v>24</v>
      </c>
      <c r="I179" s="0" t="s">
        <v>84</v>
      </c>
      <c r="J179" s="0" t="s">
        <v>85</v>
      </c>
      <c r="K179" s="0" t="n">
        <v>50</v>
      </c>
      <c r="L179" s="0" t="n">
        <v>1.9</v>
      </c>
      <c r="M179" s="1" t="n">
        <f aca="false">K179*L179/100</f>
        <v>0.95</v>
      </c>
      <c r="N179" s="1" t="n">
        <f aca="false">100 * (((K179)/(100)) - ((100-K179)/(L179*100-100)))</f>
        <v>-5.55555555555556</v>
      </c>
    </row>
    <row r="180" customFormat="false" ht="12.8" hidden="false" customHeight="false" outlineLevel="0" collapsed="false">
      <c r="A180" s="0" t="n">
        <v>178</v>
      </c>
      <c r="B180" s="0" t="s">
        <v>78</v>
      </c>
      <c r="C180" s="0" t="s">
        <v>203</v>
      </c>
      <c r="D180" s="0" t="n">
        <v>6</v>
      </c>
      <c r="E180" s="0" t="n">
        <v>12.25</v>
      </c>
      <c r="F180" s="1" t="n">
        <f aca="false">D180*E180/100</f>
        <v>0.735</v>
      </c>
      <c r="H180" s="0" t="n">
        <v>139</v>
      </c>
      <c r="I180" s="0" t="s">
        <v>89</v>
      </c>
      <c r="J180" s="0" t="s">
        <v>216</v>
      </c>
      <c r="K180" s="0" t="n">
        <v>3</v>
      </c>
      <c r="L180" s="0" t="n">
        <v>12.15</v>
      </c>
      <c r="M180" s="1" t="n">
        <f aca="false">K180*L180/100</f>
        <v>0.3645</v>
      </c>
      <c r="N180" s="1" t="n">
        <f aca="false">100 * (((K180)/(100)) - ((100-K180)/(L180*100-100)))</f>
        <v>-5.69955156950673</v>
      </c>
    </row>
    <row r="181" customFormat="false" ht="12.8" hidden="false" customHeight="false" outlineLevel="0" collapsed="false">
      <c r="A181" s="0" t="n">
        <v>179</v>
      </c>
      <c r="B181" s="0" t="s">
        <v>78</v>
      </c>
      <c r="C181" s="0" t="s">
        <v>197</v>
      </c>
      <c r="D181" s="0" t="n">
        <v>1</v>
      </c>
      <c r="E181" s="0" t="n">
        <v>34.75</v>
      </c>
      <c r="F181" s="1" t="n">
        <f aca="false">D181*E181/100</f>
        <v>0.3475</v>
      </c>
      <c r="H181" s="0" t="n">
        <v>98</v>
      </c>
      <c r="I181" s="0" t="s">
        <v>177</v>
      </c>
      <c r="J181" s="0" t="n">
        <v>2</v>
      </c>
      <c r="K181" s="0" t="n">
        <v>33</v>
      </c>
      <c r="L181" s="0" t="n">
        <v>2.72</v>
      </c>
      <c r="M181" s="1" t="n">
        <f aca="false">K181*L181/100</f>
        <v>0.8976</v>
      </c>
      <c r="N181" s="1" t="n">
        <f aca="false">100 * (((K181)/(100)) - ((100-K181)/(L181*100-100)))</f>
        <v>-5.95348837209302</v>
      </c>
    </row>
    <row r="182" customFormat="false" ht="12.8" hidden="false" customHeight="false" outlineLevel="0" collapsed="false">
      <c r="A182" s="0" t="n">
        <v>180</v>
      </c>
      <c r="B182" s="0" t="s">
        <v>78</v>
      </c>
      <c r="C182" s="0" t="s">
        <v>174</v>
      </c>
      <c r="D182" s="0" t="n">
        <v>0</v>
      </c>
      <c r="E182" s="0" t="n">
        <v>86.25</v>
      </c>
      <c r="F182" s="1" t="n">
        <f aca="false">D182*E182/100</f>
        <v>0</v>
      </c>
      <c r="H182" s="0" t="n">
        <v>119</v>
      </c>
      <c r="I182" s="0" t="s">
        <v>86</v>
      </c>
      <c r="J182" s="0" t="n">
        <v>2</v>
      </c>
      <c r="K182" s="0" t="n">
        <v>27</v>
      </c>
      <c r="L182" s="0" t="n">
        <v>3.21</v>
      </c>
      <c r="M182" s="1" t="n">
        <f aca="false">K182*L182/100</f>
        <v>0.8667</v>
      </c>
      <c r="N182" s="1" t="n">
        <f aca="false">100 * (((K182)/(100)) - ((100-K182)/(L182*100-100)))</f>
        <v>-6.03167420814479</v>
      </c>
    </row>
    <row r="183" customFormat="false" ht="12.8" hidden="false" customHeight="false" outlineLevel="0" collapsed="false">
      <c r="A183" s="0" t="n">
        <v>181</v>
      </c>
      <c r="B183" s="0" t="s">
        <v>78</v>
      </c>
      <c r="C183" s="0" t="s">
        <v>233</v>
      </c>
      <c r="D183" s="0" t="n">
        <v>3</v>
      </c>
      <c r="E183" s="0" t="n">
        <v>10.55</v>
      </c>
      <c r="F183" s="1" t="n">
        <f aca="false">D183*E183/100</f>
        <v>0.3165</v>
      </c>
      <c r="H183" s="0" t="n">
        <v>45</v>
      </c>
      <c r="I183" s="0" t="s">
        <v>58</v>
      </c>
      <c r="J183" s="0" t="s">
        <v>117</v>
      </c>
      <c r="K183" s="0" t="n">
        <v>2</v>
      </c>
      <c r="L183" s="0" t="n">
        <v>12.95</v>
      </c>
      <c r="M183" s="1" t="n">
        <f aca="false">K183*L183/100</f>
        <v>0.259</v>
      </c>
      <c r="N183" s="1" t="n">
        <f aca="false">100 * (((K183)/(100)) - ((100-K183)/(L183*100-100)))</f>
        <v>-6.20083682008368</v>
      </c>
    </row>
    <row r="184" customFormat="false" ht="12.8" hidden="false" customHeight="false" outlineLevel="0" collapsed="false">
      <c r="A184" s="0" t="n">
        <v>182</v>
      </c>
      <c r="B184" s="0" t="s">
        <v>78</v>
      </c>
      <c r="C184" s="0" t="s">
        <v>115</v>
      </c>
      <c r="D184" s="0" t="n">
        <v>7</v>
      </c>
      <c r="E184" s="0" t="n">
        <v>14.85</v>
      </c>
      <c r="F184" s="1" t="n">
        <f aca="false">D184*E184/100</f>
        <v>1.0395</v>
      </c>
      <c r="H184" s="0" t="n">
        <v>51</v>
      </c>
      <c r="I184" s="0" t="s">
        <v>63</v>
      </c>
      <c r="J184" s="0" t="s">
        <v>125</v>
      </c>
      <c r="K184" s="0" t="n">
        <v>2</v>
      </c>
      <c r="L184" s="0" t="n">
        <v>12.9</v>
      </c>
      <c r="M184" s="1" t="n">
        <f aca="false">K184*L184/100</f>
        <v>0.258</v>
      </c>
      <c r="N184" s="1" t="n">
        <f aca="false">100 * (((K184)/(100)) - ((100-K184)/(L184*100-100)))</f>
        <v>-6.23529411764706</v>
      </c>
    </row>
    <row r="185" customFormat="false" ht="12.8" hidden="false" customHeight="false" outlineLevel="0" collapsed="false">
      <c r="A185" s="0" t="n">
        <v>183</v>
      </c>
      <c r="B185" s="0" t="s">
        <v>78</v>
      </c>
      <c r="C185" s="0" t="s">
        <v>172</v>
      </c>
      <c r="D185" s="0" t="n">
        <v>1</v>
      </c>
      <c r="E185" s="0" t="n">
        <v>51.25</v>
      </c>
      <c r="F185" s="1" t="n">
        <f aca="false">D185*E185/100</f>
        <v>0.5125</v>
      </c>
      <c r="H185" s="0" t="n">
        <v>237</v>
      </c>
      <c r="I185" s="0" t="s">
        <v>191</v>
      </c>
      <c r="J185" s="0" t="s">
        <v>55</v>
      </c>
      <c r="K185" s="0" t="n">
        <v>53</v>
      </c>
      <c r="L185" s="0" t="n">
        <v>1.79</v>
      </c>
      <c r="M185" s="1" t="n">
        <f aca="false">K185*L185/100</f>
        <v>0.9487</v>
      </c>
      <c r="N185" s="1" t="n">
        <f aca="false">100 * (((K185)/(100)) - ((100-K185)/(L185*100-100)))</f>
        <v>-6.49367088607594</v>
      </c>
    </row>
    <row r="186" customFormat="false" ht="12.8" hidden="false" customHeight="false" outlineLevel="0" collapsed="false">
      <c r="A186" s="0" t="n">
        <v>184</v>
      </c>
      <c r="B186" s="0" t="s">
        <v>78</v>
      </c>
      <c r="C186" s="0" t="s">
        <v>200</v>
      </c>
      <c r="D186" s="0" t="n">
        <v>2</v>
      </c>
      <c r="E186" s="0" t="n">
        <v>25.1</v>
      </c>
      <c r="F186" s="1" t="n">
        <f aca="false">D186*E186/100</f>
        <v>0.502</v>
      </c>
      <c r="H186" s="0" t="n">
        <v>73</v>
      </c>
      <c r="I186" s="0" t="s">
        <v>23</v>
      </c>
      <c r="J186" s="0" t="s">
        <v>138</v>
      </c>
      <c r="K186" s="0" t="n">
        <v>10</v>
      </c>
      <c r="L186" s="0" t="n">
        <v>6.43</v>
      </c>
      <c r="M186" s="1" t="n">
        <f aca="false">K186*L186/100</f>
        <v>0.643</v>
      </c>
      <c r="N186" s="1" t="n">
        <f aca="false">100 * (((K186)/(100)) - ((100-K186)/(L186*100-100)))</f>
        <v>-6.57458563535911</v>
      </c>
    </row>
    <row r="187" customFormat="false" ht="12.8" hidden="false" customHeight="false" outlineLevel="0" collapsed="false">
      <c r="A187" s="0" t="n">
        <v>185</v>
      </c>
      <c r="B187" s="0" t="s">
        <v>78</v>
      </c>
      <c r="C187" s="0" t="s">
        <v>204</v>
      </c>
      <c r="D187" s="0" t="n">
        <v>0</v>
      </c>
      <c r="E187" s="0" t="n">
        <v>43.25</v>
      </c>
      <c r="F187" s="1" t="n">
        <f aca="false">D187*E187/100</f>
        <v>0</v>
      </c>
      <c r="H187" s="0" t="n">
        <v>138</v>
      </c>
      <c r="I187" s="0" t="s">
        <v>89</v>
      </c>
      <c r="J187" s="0" t="s">
        <v>215</v>
      </c>
      <c r="K187" s="0" t="n">
        <v>8</v>
      </c>
      <c r="L187" s="0" t="n">
        <v>7.28</v>
      </c>
      <c r="M187" s="1" t="n">
        <f aca="false">K187*L187/100</f>
        <v>0.5824</v>
      </c>
      <c r="N187" s="1" t="n">
        <f aca="false">100 * (((K187)/(100)) - ((100-K187)/(L187*100-100)))</f>
        <v>-6.64968152866242</v>
      </c>
    </row>
    <row r="188" customFormat="false" ht="12.8" hidden="false" customHeight="false" outlineLevel="0" collapsed="false">
      <c r="A188" s="0" t="n">
        <v>186</v>
      </c>
      <c r="B188" s="0" t="s">
        <v>78</v>
      </c>
      <c r="C188" s="0" t="s">
        <v>175</v>
      </c>
      <c r="D188" s="0" t="n">
        <v>0</v>
      </c>
      <c r="E188" s="0" t="n">
        <v>86.25</v>
      </c>
      <c r="F188" s="1" t="n">
        <f aca="false">D188*E188/100</f>
        <v>0</v>
      </c>
      <c r="H188" s="0" t="n">
        <v>84</v>
      </c>
      <c r="I188" s="0" t="s">
        <v>37</v>
      </c>
      <c r="J188" s="0" t="s">
        <v>162</v>
      </c>
      <c r="K188" s="0" t="n">
        <v>18</v>
      </c>
      <c r="L188" s="0" t="n">
        <v>4.32</v>
      </c>
      <c r="M188" s="1" t="n">
        <f aca="false">K188*L188/100</f>
        <v>0.7776</v>
      </c>
      <c r="N188" s="1" t="n">
        <f aca="false">100 * (((K188)/(100)) - ((100-K188)/(L188*100-100)))</f>
        <v>-6.69879518072289</v>
      </c>
    </row>
    <row r="189" customFormat="false" ht="12.8" hidden="false" customHeight="false" outlineLevel="0" collapsed="false">
      <c r="A189" s="0" t="n">
        <v>187</v>
      </c>
      <c r="B189" s="0" t="s">
        <v>78</v>
      </c>
      <c r="C189" s="0" t="s">
        <v>190</v>
      </c>
      <c r="D189" s="0" t="n">
        <v>1</v>
      </c>
      <c r="E189" s="0" t="n">
        <v>38.75</v>
      </c>
      <c r="F189" s="1" t="n">
        <f aca="false">D189*E189/100</f>
        <v>0.3875</v>
      </c>
      <c r="H189" s="0" t="n">
        <v>140</v>
      </c>
      <c r="I189" s="0" t="s">
        <v>89</v>
      </c>
      <c r="J189" s="0" t="s">
        <v>184</v>
      </c>
      <c r="K189" s="0" t="n">
        <v>5</v>
      </c>
      <c r="L189" s="0" t="n">
        <v>9.08</v>
      </c>
      <c r="M189" s="1" t="n">
        <f aca="false">K189*L189/100</f>
        <v>0.454</v>
      </c>
      <c r="N189" s="1" t="n">
        <f aca="false">100 * (((K189)/(100)) - ((100-K189)/(L189*100-100)))</f>
        <v>-6.75742574257426</v>
      </c>
    </row>
    <row r="190" customFormat="false" ht="12.8" hidden="false" customHeight="false" outlineLevel="0" collapsed="false">
      <c r="A190" s="0" t="n">
        <v>188</v>
      </c>
      <c r="B190" s="0" t="s">
        <v>78</v>
      </c>
      <c r="C190" s="0" t="s">
        <v>163</v>
      </c>
      <c r="D190" s="0" t="n">
        <v>6</v>
      </c>
      <c r="E190" s="0" t="n">
        <v>14.85</v>
      </c>
      <c r="F190" s="1" t="n">
        <f aca="false">D190*E190/100</f>
        <v>0.891</v>
      </c>
      <c r="H190" s="0" t="n">
        <v>136</v>
      </c>
      <c r="I190" s="0" t="s">
        <v>89</v>
      </c>
      <c r="J190" s="0" t="s">
        <v>151</v>
      </c>
      <c r="K190" s="0" t="n">
        <v>2</v>
      </c>
      <c r="L190" s="0" t="n">
        <v>12.1</v>
      </c>
      <c r="M190" s="1" t="n">
        <f aca="false">K190*L190/100</f>
        <v>0.242</v>
      </c>
      <c r="N190" s="1" t="n">
        <f aca="false">100 * (((K190)/(100)) - ((100-K190)/(L190*100-100)))</f>
        <v>-6.82882882882883</v>
      </c>
    </row>
    <row r="191" customFormat="false" ht="12.8" hidden="false" customHeight="false" outlineLevel="0" collapsed="false">
      <c r="A191" s="0" t="n">
        <v>189</v>
      </c>
      <c r="B191" s="0" t="s">
        <v>78</v>
      </c>
      <c r="C191" s="0" t="s">
        <v>183</v>
      </c>
      <c r="D191" s="0" t="n">
        <v>4</v>
      </c>
      <c r="E191" s="0" t="n">
        <v>19.1</v>
      </c>
      <c r="F191" s="1" t="n">
        <f aca="false">D191*E191/100</f>
        <v>0.764</v>
      </c>
      <c r="H191" s="0" t="n">
        <v>20</v>
      </c>
      <c r="I191" s="0" t="s">
        <v>60</v>
      </c>
      <c r="J191" s="0" t="s">
        <v>74</v>
      </c>
      <c r="K191" s="0" t="n">
        <v>10</v>
      </c>
      <c r="L191" s="0" t="n">
        <v>6.26</v>
      </c>
      <c r="M191" s="1" t="n">
        <f aca="false">K191*L191/100</f>
        <v>0.626</v>
      </c>
      <c r="N191" s="1" t="n">
        <f aca="false">100 * (((K191)/(100)) - ((100-K191)/(L191*100-100)))</f>
        <v>-7.11026615969582</v>
      </c>
    </row>
    <row r="192" customFormat="false" ht="12.8" hidden="false" customHeight="false" outlineLevel="0" collapsed="false">
      <c r="A192" s="0" t="n">
        <v>190</v>
      </c>
      <c r="B192" s="0" t="s">
        <v>78</v>
      </c>
      <c r="C192" s="0" t="s">
        <v>120</v>
      </c>
      <c r="D192" s="0" t="n">
        <v>2</v>
      </c>
      <c r="E192" s="0" t="n">
        <v>51.25</v>
      </c>
      <c r="F192" s="1" t="n">
        <f aca="false">D192*E192/100</f>
        <v>1.025</v>
      </c>
      <c r="H192" s="0" t="n">
        <v>236</v>
      </c>
      <c r="I192" s="0" t="s">
        <v>198</v>
      </c>
      <c r="J192" s="0" t="s">
        <v>234</v>
      </c>
      <c r="K192" s="0" t="n">
        <v>4</v>
      </c>
      <c r="L192" s="0" t="n">
        <v>9.64</v>
      </c>
      <c r="M192" s="1" t="n">
        <f aca="false">K192*L192/100</f>
        <v>0.3856</v>
      </c>
      <c r="N192" s="1" t="n">
        <f aca="false">100 * (((K192)/(100)) - ((100-K192)/(L192*100-100)))</f>
        <v>-7.11111111111111</v>
      </c>
    </row>
    <row r="193" customFormat="false" ht="12.8" hidden="false" customHeight="false" outlineLevel="0" collapsed="false">
      <c r="A193" s="0" t="n">
        <v>191</v>
      </c>
      <c r="B193" s="0" t="s">
        <v>78</v>
      </c>
      <c r="C193" s="0" t="s">
        <v>79</v>
      </c>
      <c r="D193" s="0" t="n">
        <v>8</v>
      </c>
      <c r="E193" s="0" t="n">
        <v>18.25</v>
      </c>
      <c r="F193" s="1" t="n">
        <f aca="false">D193*E193/100</f>
        <v>1.46</v>
      </c>
      <c r="H193" s="0" t="n">
        <v>181</v>
      </c>
      <c r="I193" s="0" t="s">
        <v>78</v>
      </c>
      <c r="J193" s="0" t="s">
        <v>233</v>
      </c>
      <c r="K193" s="0" t="n">
        <v>3</v>
      </c>
      <c r="L193" s="0" t="n">
        <v>10.55</v>
      </c>
      <c r="M193" s="1" t="n">
        <f aca="false">K193*L193/100</f>
        <v>0.3165</v>
      </c>
      <c r="N193" s="1" t="n">
        <f aca="false">100 * (((K193)/(100)) - ((100-K193)/(L193*100-100)))</f>
        <v>-7.15706806282723</v>
      </c>
    </row>
    <row r="194" customFormat="false" ht="12.8" hidden="false" customHeight="false" outlineLevel="0" collapsed="false">
      <c r="A194" s="0" t="n">
        <v>192</v>
      </c>
      <c r="B194" s="0" t="s">
        <v>78</v>
      </c>
      <c r="C194" s="0" t="s">
        <v>226</v>
      </c>
      <c r="D194" s="0" t="n">
        <v>0</v>
      </c>
      <c r="E194" s="0" t="n">
        <v>25.75</v>
      </c>
      <c r="F194" s="1" t="n">
        <f aca="false">D194*E194/100</f>
        <v>0</v>
      </c>
      <c r="H194" s="0" t="n">
        <v>31</v>
      </c>
      <c r="I194" s="0" t="s">
        <v>29</v>
      </c>
      <c r="J194" s="0" t="s">
        <v>40</v>
      </c>
      <c r="K194" s="0" t="n">
        <v>8</v>
      </c>
      <c r="L194" s="0" t="n">
        <v>7.06</v>
      </c>
      <c r="M194" s="1" t="n">
        <f aca="false">K194*L194/100</f>
        <v>0.5648</v>
      </c>
      <c r="N194" s="1" t="n">
        <f aca="false">100 * (((K194)/(100)) - ((100-K194)/(L194*100-100)))</f>
        <v>-7.18151815181518</v>
      </c>
    </row>
    <row r="195" customFormat="false" ht="12.8" hidden="false" customHeight="false" outlineLevel="0" collapsed="false">
      <c r="A195" s="0" t="n">
        <v>193</v>
      </c>
      <c r="B195" s="0" t="s">
        <v>78</v>
      </c>
      <c r="C195" s="0" t="s">
        <v>205</v>
      </c>
      <c r="D195" s="0" t="n">
        <v>0</v>
      </c>
      <c r="E195" s="0" t="n">
        <v>43.25</v>
      </c>
      <c r="F195" s="1" t="n">
        <f aca="false">D195*E195/100</f>
        <v>0</v>
      </c>
      <c r="H195" s="0" t="n">
        <v>46</v>
      </c>
      <c r="I195" s="0" t="s">
        <v>58</v>
      </c>
      <c r="J195" s="0" t="s">
        <v>119</v>
      </c>
      <c r="K195" s="0" t="n">
        <v>14</v>
      </c>
      <c r="L195" s="0" t="n">
        <v>5.05</v>
      </c>
      <c r="M195" s="1" t="n">
        <f aca="false">K195*L195/100</f>
        <v>0.707</v>
      </c>
      <c r="N195" s="1" t="n">
        <f aca="false">100 * (((K195)/(100)) - ((100-K195)/(L195*100-100)))</f>
        <v>-7.23456790123457</v>
      </c>
    </row>
    <row r="196" customFormat="false" ht="12.8" hidden="false" customHeight="false" outlineLevel="0" collapsed="false">
      <c r="A196" s="0" t="n">
        <v>194</v>
      </c>
      <c r="B196" s="0" t="s">
        <v>78</v>
      </c>
      <c r="C196" s="0" t="s">
        <v>223</v>
      </c>
      <c r="D196" s="0" t="n">
        <v>2</v>
      </c>
      <c r="E196" s="0" t="n">
        <v>18.25</v>
      </c>
      <c r="F196" s="1" t="n">
        <f aca="false">D196*E196/100</f>
        <v>0.365</v>
      </c>
      <c r="H196" s="0" t="n">
        <v>224</v>
      </c>
      <c r="I196" s="0" t="s">
        <v>168</v>
      </c>
      <c r="J196" s="0" t="s">
        <v>43</v>
      </c>
      <c r="K196" s="0" t="n">
        <v>54</v>
      </c>
      <c r="L196" s="0" t="n">
        <v>1.75</v>
      </c>
      <c r="M196" s="1" t="n">
        <f aca="false">K196*L196/100</f>
        <v>0.945</v>
      </c>
      <c r="N196" s="1" t="n">
        <f aca="false">100 * (((K196)/(100)) - ((100-K196)/(L196*100-100)))</f>
        <v>-7.33333333333333</v>
      </c>
    </row>
    <row r="197" customFormat="false" ht="12.8" hidden="false" customHeight="false" outlineLevel="0" collapsed="false">
      <c r="A197" s="0" t="n">
        <v>195</v>
      </c>
      <c r="B197" s="0" t="s">
        <v>78</v>
      </c>
      <c r="C197" s="0" t="s">
        <v>224</v>
      </c>
      <c r="D197" s="0" t="n">
        <v>2</v>
      </c>
      <c r="E197" s="0" t="n">
        <v>18.25</v>
      </c>
      <c r="F197" s="1" t="n">
        <f aca="false">D197*E197/100</f>
        <v>0.365</v>
      </c>
      <c r="H197" s="0" t="n">
        <v>151</v>
      </c>
      <c r="I197" s="0" t="s">
        <v>93</v>
      </c>
      <c r="J197" s="0" t="s">
        <v>148</v>
      </c>
      <c r="K197" s="0" t="n">
        <v>20</v>
      </c>
      <c r="L197" s="0" t="n">
        <v>3.91</v>
      </c>
      <c r="M197" s="1" t="n">
        <f aca="false">K197*L197/100</f>
        <v>0.782</v>
      </c>
      <c r="N197" s="1" t="n">
        <f aca="false">100 * (((K197)/(100)) - ((100-K197)/(L197*100-100)))</f>
        <v>-7.49140893470791</v>
      </c>
    </row>
    <row r="198" customFormat="false" ht="12.8" hidden="false" customHeight="false" outlineLevel="0" collapsed="false">
      <c r="A198" s="0" t="n">
        <v>196</v>
      </c>
      <c r="B198" s="0" t="s">
        <v>78</v>
      </c>
      <c r="C198" s="0" t="s">
        <v>201</v>
      </c>
      <c r="D198" s="0" t="n">
        <v>2</v>
      </c>
      <c r="E198" s="0" t="n">
        <v>25.1</v>
      </c>
      <c r="F198" s="1" t="n">
        <f aca="false">D198*E198/100</f>
        <v>0.502</v>
      </c>
      <c r="H198" s="0" t="n">
        <v>43</v>
      </c>
      <c r="I198" s="0" t="s">
        <v>58</v>
      </c>
      <c r="J198" s="0" t="s">
        <v>114</v>
      </c>
      <c r="K198" s="0" t="n">
        <v>11</v>
      </c>
      <c r="L198" s="0" t="n">
        <v>5.75</v>
      </c>
      <c r="M198" s="1" t="n">
        <f aca="false">K198*L198/100</f>
        <v>0.6325</v>
      </c>
      <c r="N198" s="1" t="n">
        <f aca="false">100 * (((K198)/(100)) - ((100-K198)/(L198*100-100)))</f>
        <v>-7.73684210526316</v>
      </c>
    </row>
    <row r="199" customFormat="false" ht="12.8" hidden="false" customHeight="false" outlineLevel="0" collapsed="false">
      <c r="A199" s="0" t="n">
        <v>197</v>
      </c>
      <c r="B199" s="0" t="s">
        <v>78</v>
      </c>
      <c r="C199" s="0" t="s">
        <v>141</v>
      </c>
      <c r="D199" s="0" t="n">
        <v>1</v>
      </c>
      <c r="E199" s="0" t="n">
        <v>77.25</v>
      </c>
      <c r="F199" s="1" t="n">
        <f aca="false">D199*E199/100</f>
        <v>0.7725</v>
      </c>
      <c r="H199" s="0" t="n">
        <v>69</v>
      </c>
      <c r="I199" s="0" t="s">
        <v>23</v>
      </c>
      <c r="J199" s="0" t="s">
        <v>110</v>
      </c>
      <c r="K199" s="0" t="n">
        <v>64</v>
      </c>
      <c r="L199" s="0" t="n">
        <v>1.5</v>
      </c>
      <c r="M199" s="1" t="n">
        <f aca="false">K199*L199/100</f>
        <v>0.96</v>
      </c>
      <c r="N199" s="1" t="n">
        <f aca="false">100 * (((K199)/(100)) - ((100-K199)/(L199*100-100)))</f>
        <v>-8</v>
      </c>
    </row>
    <row r="200" customFormat="false" ht="12.8" hidden="false" customHeight="false" outlineLevel="0" collapsed="false">
      <c r="A200" s="0" t="n">
        <v>198</v>
      </c>
      <c r="B200" s="0" t="s">
        <v>78</v>
      </c>
      <c r="C200" s="0" t="s">
        <v>134</v>
      </c>
      <c r="D200" s="0" t="n">
        <v>5</v>
      </c>
      <c r="E200" s="0" t="n">
        <v>19.95</v>
      </c>
      <c r="F200" s="1" t="n">
        <f aca="false">D200*E200/100</f>
        <v>0.9975</v>
      </c>
      <c r="H200" s="0" t="n">
        <v>44</v>
      </c>
      <c r="I200" s="0" t="s">
        <v>58</v>
      </c>
      <c r="J200" s="0" t="s">
        <v>116</v>
      </c>
      <c r="K200" s="0" t="n">
        <v>20</v>
      </c>
      <c r="L200" s="0" t="n">
        <v>3.84</v>
      </c>
      <c r="M200" s="1" t="n">
        <f aca="false">K200*L200/100</f>
        <v>0.768</v>
      </c>
      <c r="N200" s="1" t="n">
        <f aca="false">100 * (((K200)/(100)) - ((100-K200)/(L200*100-100)))</f>
        <v>-8.16901408450704</v>
      </c>
    </row>
    <row r="201" customFormat="false" ht="12.8" hidden="false" customHeight="false" outlineLevel="0" collapsed="false">
      <c r="A201" s="0" t="n">
        <v>199</v>
      </c>
      <c r="B201" s="0" t="s">
        <v>78</v>
      </c>
      <c r="C201" s="0" t="s">
        <v>164</v>
      </c>
      <c r="D201" s="0" t="n">
        <v>2</v>
      </c>
      <c r="E201" s="0" t="n">
        <v>34.75</v>
      </c>
      <c r="F201" s="1" t="n">
        <f aca="false">D201*E201/100</f>
        <v>0.695</v>
      </c>
      <c r="H201" s="0" t="n">
        <v>166</v>
      </c>
      <c r="I201" s="0" t="s">
        <v>102</v>
      </c>
      <c r="J201" s="0" t="s">
        <v>230</v>
      </c>
      <c r="K201" s="0" t="n">
        <v>3</v>
      </c>
      <c r="L201" s="0" t="n">
        <v>9.68</v>
      </c>
      <c r="M201" s="1" t="n">
        <f aca="false">K201*L201/100</f>
        <v>0.2904</v>
      </c>
      <c r="N201" s="1" t="n">
        <f aca="false">100 * (((K201)/(100)) - ((100-K201)/(L201*100-100)))</f>
        <v>-8.17511520737327</v>
      </c>
    </row>
    <row r="202" customFormat="false" ht="12.8" hidden="false" customHeight="false" outlineLevel="0" collapsed="false">
      <c r="A202" s="0" t="n">
        <v>200</v>
      </c>
      <c r="B202" s="0" t="s">
        <v>78</v>
      </c>
      <c r="C202" s="0" t="s">
        <v>104</v>
      </c>
      <c r="D202" s="0" t="n">
        <v>3</v>
      </c>
      <c r="E202" s="0" t="n">
        <v>43.25</v>
      </c>
      <c r="F202" s="1" t="n">
        <f aca="false">D202*E202/100</f>
        <v>1.2975</v>
      </c>
      <c r="H202" s="0" t="n">
        <v>122</v>
      </c>
      <c r="I202" s="0" t="s">
        <v>89</v>
      </c>
      <c r="J202" s="0" t="s">
        <v>202</v>
      </c>
      <c r="K202" s="0" t="n">
        <v>9</v>
      </c>
      <c r="L202" s="0" t="n">
        <v>6.28</v>
      </c>
      <c r="M202" s="1" t="n">
        <f aca="false">K202*L202/100</f>
        <v>0.5652</v>
      </c>
      <c r="N202" s="1" t="n">
        <f aca="false">100 * (((K202)/(100)) - ((100-K202)/(L202*100-100)))</f>
        <v>-8.23484848484849</v>
      </c>
    </row>
    <row r="203" customFormat="false" ht="12.8" hidden="false" customHeight="false" outlineLevel="0" collapsed="false">
      <c r="A203" s="0" t="n">
        <v>201</v>
      </c>
      <c r="B203" s="0" t="s">
        <v>78</v>
      </c>
      <c r="C203" s="0" t="s">
        <v>210</v>
      </c>
      <c r="D203" s="0" t="n">
        <v>2</v>
      </c>
      <c r="E203" s="0" t="n">
        <v>21.7</v>
      </c>
      <c r="F203" s="1" t="n">
        <f aca="false">D203*E203/100</f>
        <v>0.434</v>
      </c>
      <c r="H203" s="0" t="n">
        <v>110</v>
      </c>
      <c r="I203" s="0" t="s">
        <v>81</v>
      </c>
      <c r="J203" s="0" t="s">
        <v>189</v>
      </c>
      <c r="K203" s="0" t="n">
        <v>1</v>
      </c>
      <c r="L203" s="0" t="n">
        <v>11.45</v>
      </c>
      <c r="M203" s="1" t="n">
        <f aca="false">K203*L203/100</f>
        <v>0.1145</v>
      </c>
      <c r="N203" s="1" t="n">
        <f aca="false">100 * (((K203)/(100)) - ((100-K203)/(L203*100-100)))</f>
        <v>-8.47368421052632</v>
      </c>
    </row>
    <row r="204" customFormat="false" ht="12.8" hidden="false" customHeight="false" outlineLevel="0" collapsed="false">
      <c r="A204" s="0" t="n">
        <v>202</v>
      </c>
      <c r="B204" s="0" t="s">
        <v>78</v>
      </c>
      <c r="C204" s="0" t="s">
        <v>122</v>
      </c>
      <c r="D204" s="0" t="n">
        <v>2</v>
      </c>
      <c r="E204" s="0" t="n">
        <v>51.25</v>
      </c>
      <c r="F204" s="1" t="n">
        <f aca="false">D204*E204/100</f>
        <v>1.025</v>
      </c>
      <c r="H204" s="0" t="n">
        <v>117</v>
      </c>
      <c r="I204" s="0" t="s">
        <v>86</v>
      </c>
      <c r="J204" s="0" t="n">
        <v>1</v>
      </c>
      <c r="K204" s="0" t="n">
        <v>32</v>
      </c>
      <c r="L204" s="0" t="n">
        <v>2.67</v>
      </c>
      <c r="M204" s="1" t="n">
        <f aca="false">K204*L204/100</f>
        <v>0.8544</v>
      </c>
      <c r="N204" s="1" t="n">
        <f aca="false">100 * (((K204)/(100)) - ((100-K204)/(L204*100-100)))</f>
        <v>-8.7185628742515</v>
      </c>
    </row>
    <row r="205" customFormat="false" ht="12.8" hidden="false" customHeight="false" outlineLevel="0" collapsed="false">
      <c r="A205" s="0" t="n">
        <v>203</v>
      </c>
      <c r="B205" s="0" t="s">
        <v>78</v>
      </c>
      <c r="C205" s="0" t="s">
        <v>106</v>
      </c>
      <c r="D205" s="0" t="n">
        <v>2</v>
      </c>
      <c r="E205" s="0" t="n">
        <v>69.25</v>
      </c>
      <c r="F205" s="1" t="n">
        <f aca="false">D205*E205/100</f>
        <v>1.385</v>
      </c>
      <c r="H205" s="0" t="n">
        <v>243</v>
      </c>
      <c r="I205" s="0" t="s">
        <v>62</v>
      </c>
      <c r="J205" s="0" t="s">
        <v>55</v>
      </c>
      <c r="K205" s="0" t="n">
        <v>11</v>
      </c>
      <c r="L205" s="0" t="n">
        <v>5.45</v>
      </c>
      <c r="M205" s="1" t="n">
        <f aca="false">K205*L205/100</f>
        <v>0.5995</v>
      </c>
      <c r="N205" s="1" t="n">
        <f aca="false">100 * (((K205)/(100)) - ((100-K205)/(L205*100-100)))</f>
        <v>-9</v>
      </c>
    </row>
    <row r="206" customFormat="false" ht="12.8" hidden="false" customHeight="false" outlineLevel="0" collapsed="false">
      <c r="A206" s="0" t="n">
        <v>204</v>
      </c>
      <c r="B206" s="0" t="s">
        <v>78</v>
      </c>
      <c r="C206" s="0" t="s">
        <v>194</v>
      </c>
      <c r="D206" s="0" t="n">
        <v>0</v>
      </c>
      <c r="E206" s="0" t="n">
        <v>60.25</v>
      </c>
      <c r="F206" s="1" t="n">
        <f aca="false">D206*E206/100</f>
        <v>0</v>
      </c>
      <c r="H206" s="0" t="n">
        <v>34</v>
      </c>
      <c r="I206" s="0" t="s">
        <v>95</v>
      </c>
      <c r="J206" s="0" t="n">
        <v>2</v>
      </c>
      <c r="K206" s="0" t="n">
        <v>21</v>
      </c>
      <c r="L206" s="0" t="n">
        <v>3.62</v>
      </c>
      <c r="M206" s="1" t="n">
        <f aca="false">K206*L206/100</f>
        <v>0.7602</v>
      </c>
      <c r="N206" s="1" t="n">
        <f aca="false">100 * (((K206)/(100)) - ((100-K206)/(L206*100-100)))</f>
        <v>-9.15267175572519</v>
      </c>
    </row>
    <row r="207" customFormat="false" ht="12.8" hidden="false" customHeight="false" outlineLevel="0" collapsed="false">
      <c r="A207" s="0" t="n">
        <v>205</v>
      </c>
      <c r="B207" s="0" t="s">
        <v>78</v>
      </c>
      <c r="C207" s="0" t="s">
        <v>220</v>
      </c>
      <c r="D207" s="0" t="n">
        <v>1</v>
      </c>
      <c r="E207" s="0" t="n">
        <v>24.25</v>
      </c>
      <c r="F207" s="1" t="n">
        <f aca="false">D207*E207/100</f>
        <v>0.2425</v>
      </c>
      <c r="H207" s="0" t="n">
        <v>18</v>
      </c>
      <c r="I207" s="0" t="s">
        <v>60</v>
      </c>
      <c r="J207" s="0" t="s">
        <v>71</v>
      </c>
      <c r="K207" s="0" t="n">
        <v>12</v>
      </c>
      <c r="L207" s="0" t="n">
        <v>5.13</v>
      </c>
      <c r="M207" s="1" t="n">
        <f aca="false">K207*L207/100</f>
        <v>0.6156</v>
      </c>
      <c r="N207" s="1" t="n">
        <f aca="false">100 * (((K207)/(100)) - ((100-K207)/(L207*100-100)))</f>
        <v>-9.30750605326877</v>
      </c>
    </row>
    <row r="208" customFormat="false" ht="12.8" hidden="false" customHeight="false" outlineLevel="0" collapsed="false">
      <c r="A208" s="0" t="n">
        <v>206</v>
      </c>
      <c r="B208" s="0" t="s">
        <v>78</v>
      </c>
      <c r="C208" s="0" t="s">
        <v>213</v>
      </c>
      <c r="D208" s="0" t="n">
        <v>1</v>
      </c>
      <c r="E208" s="0" t="n">
        <v>25.1</v>
      </c>
      <c r="F208" s="1" t="n">
        <f aca="false">D208*E208/100</f>
        <v>0.251</v>
      </c>
      <c r="H208" s="0" t="n">
        <v>230</v>
      </c>
      <c r="I208" s="0" t="s">
        <v>66</v>
      </c>
      <c r="J208" s="0" t="s">
        <v>219</v>
      </c>
      <c r="K208" s="0" t="n">
        <v>37</v>
      </c>
      <c r="L208" s="0" t="n">
        <v>2.36</v>
      </c>
      <c r="M208" s="1" t="n">
        <f aca="false">K208*L208/100</f>
        <v>0.8732</v>
      </c>
      <c r="N208" s="1" t="n">
        <f aca="false">100 * (((K208)/(100)) - ((100-K208)/(L208*100-100)))</f>
        <v>-9.32352941176471</v>
      </c>
    </row>
    <row r="209" customFormat="false" ht="12.8" hidden="false" customHeight="false" outlineLevel="0" collapsed="false">
      <c r="A209" s="0" t="n">
        <v>207</v>
      </c>
      <c r="B209" s="0" t="s">
        <v>78</v>
      </c>
      <c r="C209" s="0" t="s">
        <v>207</v>
      </c>
      <c r="D209" s="0" t="n">
        <v>0</v>
      </c>
      <c r="E209" s="0" t="n">
        <v>43.25</v>
      </c>
      <c r="F209" s="1" t="n">
        <f aca="false">D209*E209/100</f>
        <v>0</v>
      </c>
      <c r="H209" s="0" t="n">
        <v>90</v>
      </c>
      <c r="I209" s="0" t="s">
        <v>35</v>
      </c>
      <c r="J209" s="0" t="n">
        <v>1</v>
      </c>
      <c r="K209" s="0" t="n">
        <v>24</v>
      </c>
      <c r="L209" s="0" t="n">
        <v>3.26</v>
      </c>
      <c r="M209" s="1" t="n">
        <f aca="false">K209*L209/100</f>
        <v>0.7824</v>
      </c>
      <c r="N209" s="1" t="n">
        <f aca="false">100 * (((K209)/(100)) - ((100-K209)/(L209*100-100)))</f>
        <v>-9.6283185840708</v>
      </c>
    </row>
    <row r="210" customFormat="false" ht="12.8" hidden="false" customHeight="false" outlineLevel="0" collapsed="false">
      <c r="A210" s="0" t="n">
        <v>208</v>
      </c>
      <c r="B210" s="0" t="s">
        <v>78</v>
      </c>
      <c r="C210" s="0" t="s">
        <v>118</v>
      </c>
      <c r="D210" s="0" t="n">
        <v>3</v>
      </c>
      <c r="E210" s="0" t="n">
        <v>34.75</v>
      </c>
      <c r="F210" s="1" t="n">
        <f aca="false">D210*E210/100</f>
        <v>1.0425</v>
      </c>
      <c r="H210" s="0" t="n">
        <v>160</v>
      </c>
      <c r="I210" s="0" t="s">
        <v>147</v>
      </c>
      <c r="J210" s="0" t="s">
        <v>94</v>
      </c>
      <c r="K210" s="0" t="n">
        <v>36</v>
      </c>
      <c r="L210" s="0" t="n">
        <v>2.4</v>
      </c>
      <c r="M210" s="1" t="n">
        <f aca="false">K210*L210/100</f>
        <v>0.864</v>
      </c>
      <c r="N210" s="1" t="n">
        <f aca="false">100 * (((K210)/(100)) - ((100-K210)/(L210*100-100)))</f>
        <v>-9.71428571428571</v>
      </c>
    </row>
    <row r="211" customFormat="false" ht="12.8" hidden="false" customHeight="false" outlineLevel="0" collapsed="false">
      <c r="A211" s="0" t="n">
        <v>209</v>
      </c>
      <c r="B211" s="0" t="s">
        <v>78</v>
      </c>
      <c r="C211" s="0" t="s">
        <v>137</v>
      </c>
      <c r="D211" s="0" t="n">
        <v>6</v>
      </c>
      <c r="E211" s="0" t="n">
        <v>16.55</v>
      </c>
      <c r="F211" s="1" t="n">
        <f aca="false">D211*E211/100</f>
        <v>0.993</v>
      </c>
      <c r="H211" s="0" t="n">
        <v>88</v>
      </c>
      <c r="I211" s="0" t="s">
        <v>96</v>
      </c>
      <c r="J211" s="0" t="s">
        <v>167</v>
      </c>
      <c r="K211" s="0" t="n">
        <v>16</v>
      </c>
      <c r="L211" s="0" t="n">
        <v>4.26</v>
      </c>
      <c r="M211" s="1" t="n">
        <f aca="false">K211*L211/100</f>
        <v>0.6816</v>
      </c>
      <c r="N211" s="1" t="n">
        <f aca="false">100 * (((K211)/(100)) - ((100-K211)/(L211*100-100)))</f>
        <v>-9.76687116564417</v>
      </c>
    </row>
    <row r="212" customFormat="false" ht="12.8" hidden="false" customHeight="false" outlineLevel="0" collapsed="false">
      <c r="A212" s="0" t="n">
        <v>210</v>
      </c>
      <c r="B212" s="0" t="s">
        <v>78</v>
      </c>
      <c r="C212" s="0" t="s">
        <v>185</v>
      </c>
      <c r="D212" s="0" t="n">
        <v>0</v>
      </c>
      <c r="E212" s="0" t="n">
        <v>69.25</v>
      </c>
      <c r="F212" s="1" t="n">
        <f aca="false">D212*E212/100</f>
        <v>0</v>
      </c>
      <c r="H212" s="0" t="n">
        <v>158</v>
      </c>
      <c r="I212" s="0" t="s">
        <v>147</v>
      </c>
      <c r="J212" s="0" t="s">
        <v>221</v>
      </c>
      <c r="K212" s="0" t="n">
        <v>27</v>
      </c>
      <c r="L212" s="0" t="n">
        <v>2.98</v>
      </c>
      <c r="M212" s="1" t="n">
        <f aca="false">K212*L212/100</f>
        <v>0.8046</v>
      </c>
      <c r="N212" s="1" t="n">
        <f aca="false">100 * (((K212)/(100)) - ((100-K212)/(L212*100-100)))</f>
        <v>-9.86868686868687</v>
      </c>
    </row>
    <row r="213" customFormat="false" ht="12.8" hidden="false" customHeight="false" outlineLevel="0" collapsed="false">
      <c r="A213" s="0" t="n">
        <v>211</v>
      </c>
      <c r="B213" s="0" t="s">
        <v>78</v>
      </c>
      <c r="C213" s="0" t="s">
        <v>91</v>
      </c>
      <c r="D213" s="0" t="n">
        <v>2</v>
      </c>
      <c r="E213" s="0" t="n">
        <v>86.25</v>
      </c>
      <c r="F213" s="1" t="n">
        <f aca="false">D213*E213/100</f>
        <v>1.725</v>
      </c>
      <c r="H213" s="0" t="n">
        <v>79</v>
      </c>
      <c r="I213" s="0" t="s">
        <v>37</v>
      </c>
      <c r="J213" s="0" t="s">
        <v>155</v>
      </c>
      <c r="K213" s="0" t="n">
        <v>12</v>
      </c>
      <c r="L213" s="0" t="n">
        <v>4.84</v>
      </c>
      <c r="M213" s="1" t="n">
        <f aca="false">K213*L213/100</f>
        <v>0.5808</v>
      </c>
      <c r="N213" s="1" t="n">
        <f aca="false">100 * (((K213)/(100)) - ((100-K213)/(L213*100-100)))</f>
        <v>-10.9166666666667</v>
      </c>
    </row>
    <row r="214" customFormat="false" ht="12.8" hidden="false" customHeight="false" outlineLevel="0" collapsed="false">
      <c r="A214" s="0" t="n">
        <v>212</v>
      </c>
      <c r="B214" s="0" t="s">
        <v>78</v>
      </c>
      <c r="C214" s="0" t="s">
        <v>176</v>
      </c>
      <c r="D214" s="0" t="n">
        <v>0</v>
      </c>
      <c r="E214" s="0" t="n">
        <v>86.25</v>
      </c>
      <c r="F214" s="1" t="n">
        <f aca="false">D214*E214/100</f>
        <v>0</v>
      </c>
      <c r="H214" s="0" t="n">
        <v>12</v>
      </c>
      <c r="I214" s="0" t="s">
        <v>14</v>
      </c>
      <c r="J214" s="0" t="s">
        <v>50</v>
      </c>
      <c r="K214" s="0" t="n">
        <v>6</v>
      </c>
      <c r="L214" s="0" t="n">
        <v>6.52</v>
      </c>
      <c r="M214" s="1" t="n">
        <f aca="false">K214*L214/100</f>
        <v>0.3912</v>
      </c>
      <c r="N214" s="1" t="n">
        <f aca="false">100 * (((K214)/(100)) - ((100-K214)/(L214*100-100)))</f>
        <v>-11.0289855072464</v>
      </c>
    </row>
    <row r="215" customFormat="false" ht="12.8" hidden="false" customHeight="false" outlineLevel="0" collapsed="false">
      <c r="A215" s="0" t="n">
        <v>213</v>
      </c>
      <c r="B215" s="0" t="s">
        <v>78</v>
      </c>
      <c r="C215" s="0" t="s">
        <v>212</v>
      </c>
      <c r="D215" s="0" t="n">
        <v>0</v>
      </c>
      <c r="E215" s="0" t="n">
        <v>34.75</v>
      </c>
      <c r="F215" s="1" t="n">
        <f aca="false">D215*E215/100</f>
        <v>0</v>
      </c>
      <c r="H215" s="0" t="n">
        <v>74</v>
      </c>
      <c r="I215" s="0" t="s">
        <v>37</v>
      </c>
      <c r="J215" s="0" t="s">
        <v>146</v>
      </c>
      <c r="K215" s="0" t="n">
        <v>19</v>
      </c>
      <c r="L215" s="0" t="n">
        <v>3.66</v>
      </c>
      <c r="M215" s="1" t="n">
        <f aca="false">K215*L215/100</f>
        <v>0.6954</v>
      </c>
      <c r="N215" s="1" t="n">
        <f aca="false">100 * (((K215)/(100)) - ((100-K215)/(L215*100-100)))</f>
        <v>-11.4511278195489</v>
      </c>
    </row>
    <row r="216" customFormat="false" ht="12.8" hidden="false" customHeight="false" outlineLevel="0" collapsed="false">
      <c r="A216" s="0" t="n">
        <v>214</v>
      </c>
      <c r="B216" s="0" t="s">
        <v>78</v>
      </c>
      <c r="C216" s="0" t="s">
        <v>178</v>
      </c>
      <c r="D216" s="0" t="n">
        <v>0</v>
      </c>
      <c r="E216" s="0" t="n">
        <v>86.25</v>
      </c>
      <c r="F216" s="1" t="n">
        <f aca="false">D216*E216/100</f>
        <v>0</v>
      </c>
      <c r="H216" s="0" t="n">
        <v>40</v>
      </c>
      <c r="I216" s="0" t="s">
        <v>69</v>
      </c>
      <c r="J216" s="0" t="s">
        <v>111</v>
      </c>
      <c r="K216" s="0" t="n">
        <v>17</v>
      </c>
      <c r="L216" s="0" t="n">
        <v>3.9</v>
      </c>
      <c r="M216" s="1" t="n">
        <f aca="false">K216*L216/100</f>
        <v>0.663</v>
      </c>
      <c r="N216" s="1" t="n">
        <f aca="false">100 * (((K216)/(100)) - ((100-K216)/(L216*100-100)))</f>
        <v>-11.6206896551724</v>
      </c>
    </row>
    <row r="217" customFormat="false" ht="12.8" hidden="false" customHeight="false" outlineLevel="0" collapsed="false">
      <c r="A217" s="0" t="n">
        <v>215</v>
      </c>
      <c r="B217" s="0" t="s">
        <v>78</v>
      </c>
      <c r="C217" s="0" t="s">
        <v>186</v>
      </c>
      <c r="D217" s="0" t="n">
        <v>0</v>
      </c>
      <c r="E217" s="0" t="n">
        <v>69.25</v>
      </c>
      <c r="F217" s="1" t="n">
        <f aca="false">D217*E217/100</f>
        <v>0</v>
      </c>
      <c r="H217" s="0" t="n">
        <v>55</v>
      </c>
      <c r="I217" s="0" t="s">
        <v>75</v>
      </c>
      <c r="J217" s="0" t="s">
        <v>128</v>
      </c>
      <c r="K217" s="0" t="n">
        <v>23</v>
      </c>
      <c r="L217" s="0" t="n">
        <v>3.22</v>
      </c>
      <c r="M217" s="1" t="n">
        <f aca="false">K217*L217/100</f>
        <v>0.7406</v>
      </c>
      <c r="N217" s="1" t="n">
        <f aca="false">100 * (((K217)/(100)) - ((100-K217)/(L217*100-100)))</f>
        <v>-11.6846846846847</v>
      </c>
    </row>
    <row r="218" customFormat="false" ht="12.8" hidden="false" customHeight="false" outlineLevel="0" collapsed="false">
      <c r="A218" s="0" t="n">
        <v>216</v>
      </c>
      <c r="B218" s="0" t="s">
        <v>78</v>
      </c>
      <c r="C218" s="0" t="s">
        <v>92</v>
      </c>
      <c r="D218" s="0" t="n">
        <v>2</v>
      </c>
      <c r="E218" s="0" t="n">
        <v>86.25</v>
      </c>
      <c r="F218" s="1" t="n">
        <f aca="false">D218*E218/100</f>
        <v>1.725</v>
      </c>
      <c r="H218" s="0" t="n">
        <v>23</v>
      </c>
      <c r="I218" s="0" t="s">
        <v>60</v>
      </c>
      <c r="J218" s="0" t="s">
        <v>83</v>
      </c>
      <c r="K218" s="0" t="n">
        <v>12</v>
      </c>
      <c r="L218" s="0" t="n">
        <v>4.71</v>
      </c>
      <c r="M218" s="1" t="n">
        <f aca="false">K218*L218/100</f>
        <v>0.5652</v>
      </c>
      <c r="N218" s="1" t="n">
        <f aca="false">100 * (((K218)/(100)) - ((100-K218)/(L218*100-100)))</f>
        <v>-11.7196765498652</v>
      </c>
    </row>
    <row r="219" customFormat="false" ht="12.8" hidden="false" customHeight="false" outlineLevel="0" collapsed="false">
      <c r="A219" s="0" t="n">
        <v>217</v>
      </c>
      <c r="B219" s="0" t="s">
        <v>78</v>
      </c>
      <c r="C219" s="0" t="s">
        <v>143</v>
      </c>
      <c r="D219" s="0" t="n">
        <v>3</v>
      </c>
      <c r="E219" s="0" t="n">
        <v>30.25</v>
      </c>
      <c r="F219" s="1" t="n">
        <f aca="false">D219*E219/100</f>
        <v>0.9075</v>
      </c>
      <c r="H219" s="0" t="n">
        <v>49</v>
      </c>
      <c r="I219" s="0" t="s">
        <v>63</v>
      </c>
      <c r="J219" s="0" t="s">
        <v>123</v>
      </c>
      <c r="K219" s="0" t="n">
        <v>19</v>
      </c>
      <c r="L219" s="0" t="n">
        <v>3.63</v>
      </c>
      <c r="M219" s="1" t="n">
        <f aca="false">K219*L219/100</f>
        <v>0.6897</v>
      </c>
      <c r="N219" s="1" t="n">
        <f aca="false">100 * (((K219)/(100)) - ((100-K219)/(L219*100-100)))</f>
        <v>-11.7984790874525</v>
      </c>
    </row>
    <row r="220" customFormat="false" ht="12.8" hidden="false" customHeight="false" outlineLevel="0" collapsed="false">
      <c r="A220" s="0" t="n">
        <v>218</v>
      </c>
      <c r="B220" s="0" t="s">
        <v>78</v>
      </c>
      <c r="C220" s="0" t="s">
        <v>179</v>
      </c>
      <c r="D220" s="0" t="n">
        <v>0</v>
      </c>
      <c r="E220" s="0" t="n">
        <v>86.25</v>
      </c>
      <c r="F220" s="1" t="n">
        <f aca="false">D220*E220/100</f>
        <v>0</v>
      </c>
      <c r="H220" s="0" t="n">
        <v>113</v>
      </c>
      <c r="I220" s="0" t="s">
        <v>81</v>
      </c>
      <c r="J220" s="0" t="s">
        <v>193</v>
      </c>
      <c r="K220" s="0" t="n">
        <v>13</v>
      </c>
      <c r="L220" s="0" t="n">
        <v>4.47</v>
      </c>
      <c r="M220" s="1" t="n">
        <f aca="false">K220*L220/100</f>
        <v>0.5811</v>
      </c>
      <c r="N220" s="1" t="n">
        <f aca="false">100 * (((K220)/(100)) - ((100-K220)/(L220*100-100)))</f>
        <v>-12.0720461095101</v>
      </c>
    </row>
    <row r="221" customFormat="false" ht="12.8" hidden="false" customHeight="false" outlineLevel="0" collapsed="false">
      <c r="A221" s="0" t="n">
        <v>219</v>
      </c>
      <c r="B221" s="0" t="s">
        <v>78</v>
      </c>
      <c r="C221" s="0" t="s">
        <v>165</v>
      </c>
      <c r="D221" s="0" t="n">
        <v>2</v>
      </c>
      <c r="E221" s="0" t="n">
        <v>34.75</v>
      </c>
      <c r="F221" s="1" t="n">
        <f aca="false">D221*E221/100</f>
        <v>0.695</v>
      </c>
      <c r="H221" s="0" t="n">
        <v>108</v>
      </c>
      <c r="I221" s="0" t="s">
        <v>27</v>
      </c>
      <c r="J221" s="0" t="s">
        <v>132</v>
      </c>
      <c r="K221" s="0" t="n">
        <v>53</v>
      </c>
      <c r="L221" s="0" t="n">
        <v>1.72</v>
      </c>
      <c r="M221" s="1" t="n">
        <f aca="false">K221*L221/100</f>
        <v>0.9116</v>
      </c>
      <c r="N221" s="1" t="n">
        <f aca="false">100 * (((K221)/(100)) - ((100-K221)/(L221*100-100)))</f>
        <v>-12.2777777777778</v>
      </c>
    </row>
    <row r="222" customFormat="false" ht="12.8" hidden="false" customHeight="false" outlineLevel="0" collapsed="false">
      <c r="A222" s="0" t="n">
        <v>220</v>
      </c>
      <c r="B222" s="0" t="s">
        <v>78</v>
      </c>
      <c r="C222" s="0" t="s">
        <v>180</v>
      </c>
      <c r="D222" s="0" t="n">
        <v>0</v>
      </c>
      <c r="E222" s="0" t="n">
        <v>86.25</v>
      </c>
      <c r="F222" s="1" t="n">
        <f aca="false">D222*E222/100</f>
        <v>0</v>
      </c>
      <c r="H222" s="0" t="n">
        <v>155</v>
      </c>
      <c r="I222" s="0" t="s">
        <v>93</v>
      </c>
      <c r="J222" s="0" t="s">
        <v>208</v>
      </c>
      <c r="K222" s="0" t="n">
        <v>11</v>
      </c>
      <c r="L222" s="0" t="n">
        <v>4.82</v>
      </c>
      <c r="M222" s="1" t="n">
        <f aca="false">K222*L222/100</f>
        <v>0.5302</v>
      </c>
      <c r="N222" s="1" t="n">
        <f aca="false">100 * (((K222)/(100)) - ((100-K222)/(L222*100-100)))</f>
        <v>-12.2984293193717</v>
      </c>
    </row>
    <row r="223" customFormat="false" ht="12.8" hidden="false" customHeight="false" outlineLevel="0" collapsed="false">
      <c r="A223" s="0" t="n">
        <v>221</v>
      </c>
      <c r="B223" s="0" t="s">
        <v>78</v>
      </c>
      <c r="C223" s="0" t="s">
        <v>181</v>
      </c>
      <c r="D223" s="0" t="n">
        <v>0</v>
      </c>
      <c r="E223" s="0" t="n">
        <v>86.25</v>
      </c>
      <c r="F223" s="1" t="n">
        <f aca="false">D223*E223/100</f>
        <v>0</v>
      </c>
      <c r="H223" s="0" t="n">
        <v>67</v>
      </c>
      <c r="I223" s="0" t="s">
        <v>32</v>
      </c>
      <c r="J223" s="0" t="s">
        <v>138</v>
      </c>
      <c r="K223" s="0" t="n">
        <v>10</v>
      </c>
      <c r="L223" s="0" t="n">
        <v>5</v>
      </c>
      <c r="M223" s="1" t="n">
        <f aca="false">K223*L223/100</f>
        <v>0.5</v>
      </c>
      <c r="N223" s="1" t="n">
        <f aca="false">100 * (((K223)/(100)) - ((100-K223)/(L223*100-100)))</f>
        <v>-12.5</v>
      </c>
    </row>
    <row r="224" customFormat="false" ht="12.8" hidden="false" customHeight="false" outlineLevel="0" collapsed="false">
      <c r="A224" s="0" t="n">
        <v>222</v>
      </c>
      <c r="B224" s="0" t="s">
        <v>78</v>
      </c>
      <c r="C224" s="0" t="s">
        <v>214</v>
      </c>
      <c r="D224" s="0" t="n">
        <v>1</v>
      </c>
      <c r="E224" s="0" t="n">
        <v>25.1</v>
      </c>
      <c r="F224" s="1" t="n">
        <f aca="false">D224*E224/100</f>
        <v>0.251</v>
      </c>
      <c r="H224" s="0" t="n">
        <v>162</v>
      </c>
      <c r="I224" s="0" t="s">
        <v>147</v>
      </c>
      <c r="J224" s="0" t="s">
        <v>225</v>
      </c>
      <c r="K224" s="0" t="n">
        <v>19</v>
      </c>
      <c r="L224" s="0" t="n">
        <v>3.57</v>
      </c>
      <c r="M224" s="1" t="n">
        <f aca="false">K224*L224/100</f>
        <v>0.6783</v>
      </c>
      <c r="N224" s="1" t="n">
        <f aca="false">100 * (((K224)/(100)) - ((100-K224)/(L224*100-100)))</f>
        <v>-12.5175097276265</v>
      </c>
    </row>
    <row r="225" customFormat="false" ht="12.8" hidden="false" customHeight="false" outlineLevel="0" collapsed="false">
      <c r="A225" s="0" t="n">
        <v>223</v>
      </c>
      <c r="B225" s="0" t="s">
        <v>168</v>
      </c>
      <c r="C225" s="0" t="s">
        <v>169</v>
      </c>
      <c r="D225" s="0" t="n">
        <v>46</v>
      </c>
      <c r="E225" s="0" t="n">
        <v>2.15</v>
      </c>
      <c r="F225" s="1" t="n">
        <f aca="false">D225*E225/100</f>
        <v>0.989</v>
      </c>
      <c r="H225" s="0" t="n">
        <v>75</v>
      </c>
      <c r="I225" s="0" t="s">
        <v>37</v>
      </c>
      <c r="J225" s="0" t="s">
        <v>149</v>
      </c>
      <c r="K225" s="0" t="n">
        <v>22</v>
      </c>
      <c r="L225" s="0" t="n">
        <v>3.25</v>
      </c>
      <c r="M225" s="1" t="n">
        <f aca="false">K225*L225/100</f>
        <v>0.715</v>
      </c>
      <c r="N225" s="1" t="n">
        <f aca="false">100 * (((K225)/(100)) - ((100-K225)/(L225*100-100)))</f>
        <v>-12.6666666666667</v>
      </c>
    </row>
    <row r="226" customFormat="false" ht="12.8" hidden="false" customHeight="false" outlineLevel="0" collapsed="false">
      <c r="A226" s="0" t="n">
        <v>224</v>
      </c>
      <c r="B226" s="0" t="s">
        <v>168</v>
      </c>
      <c r="C226" s="0" t="s">
        <v>43</v>
      </c>
      <c r="D226" s="0" t="n">
        <v>54</v>
      </c>
      <c r="E226" s="0" t="n">
        <v>1.75</v>
      </c>
      <c r="F226" s="1" t="n">
        <f aca="false">D226*E226/100</f>
        <v>0.945</v>
      </c>
      <c r="H226" s="0" t="n">
        <v>29</v>
      </c>
      <c r="I226" s="0" t="s">
        <v>29</v>
      </c>
      <c r="J226" s="0" t="s">
        <v>34</v>
      </c>
      <c r="K226" s="0" t="n">
        <v>25</v>
      </c>
      <c r="L226" s="0" t="n">
        <v>2.99</v>
      </c>
      <c r="M226" s="1" t="n">
        <f aca="false">K226*L226/100</f>
        <v>0.7475</v>
      </c>
      <c r="N226" s="1" t="n">
        <f aca="false">100 * (((K226)/(100)) - ((100-K226)/(L226*100-100)))</f>
        <v>-12.6884422110553</v>
      </c>
    </row>
    <row r="227" customFormat="false" ht="12.8" hidden="false" customHeight="false" outlineLevel="0" collapsed="false">
      <c r="A227" s="0" t="n">
        <v>225</v>
      </c>
      <c r="B227" s="0" t="s">
        <v>56</v>
      </c>
      <c r="C227" s="0" t="s">
        <v>232</v>
      </c>
      <c r="D227" s="0" t="n">
        <v>18</v>
      </c>
      <c r="E227" s="0" t="n">
        <v>4.54</v>
      </c>
      <c r="F227" s="1" t="n">
        <f aca="false">D227*E227/100</f>
        <v>0.8172</v>
      </c>
      <c r="H227" s="0" t="n">
        <v>153</v>
      </c>
      <c r="I227" s="0" t="s">
        <v>93</v>
      </c>
      <c r="J227" s="0" t="s">
        <v>222</v>
      </c>
      <c r="K227" s="0" t="n">
        <v>19</v>
      </c>
      <c r="L227" s="0" t="n">
        <v>3.55</v>
      </c>
      <c r="M227" s="1" t="n">
        <f aca="false">K227*L227/100</f>
        <v>0.6745</v>
      </c>
      <c r="N227" s="1" t="n">
        <f aca="false">100 * (((K227)/(100)) - ((100-K227)/(L227*100-100)))</f>
        <v>-12.7647058823529</v>
      </c>
    </row>
    <row r="228" customFormat="false" ht="12.8" hidden="false" customHeight="false" outlineLevel="0" collapsed="false">
      <c r="A228" s="0" t="n">
        <v>226</v>
      </c>
      <c r="B228" s="0" t="s">
        <v>56</v>
      </c>
      <c r="C228" s="0" t="s">
        <v>57</v>
      </c>
      <c r="D228" s="0" t="n">
        <v>82</v>
      </c>
      <c r="E228" s="0" t="n">
        <v>0</v>
      </c>
      <c r="F228" s="1" t="n">
        <f aca="false">D228*E228/100</f>
        <v>0</v>
      </c>
      <c r="H228" s="0" t="n">
        <v>65</v>
      </c>
      <c r="I228" s="0" t="s">
        <v>32</v>
      </c>
      <c r="J228" s="0" t="s">
        <v>135</v>
      </c>
      <c r="K228" s="0" t="n">
        <v>35</v>
      </c>
      <c r="L228" s="0" t="n">
        <v>2.36</v>
      </c>
      <c r="M228" s="1" t="n">
        <f aca="false">K228*L228/100</f>
        <v>0.826</v>
      </c>
      <c r="N228" s="1" t="n">
        <f aca="false">100 * (((K228)/(100)) - ((100-K228)/(L228*100-100)))</f>
        <v>-12.7941176470588</v>
      </c>
    </row>
    <row r="229" customFormat="false" ht="12.8" hidden="false" customHeight="false" outlineLevel="0" collapsed="false">
      <c r="A229" s="0" t="n">
        <v>227</v>
      </c>
      <c r="B229" s="0" t="s">
        <v>218</v>
      </c>
      <c r="C229" s="0" t="s">
        <v>67</v>
      </c>
      <c r="D229" s="0" t="n">
        <v>55</v>
      </c>
      <c r="E229" s="0" t="n">
        <v>1.76</v>
      </c>
      <c r="F229" s="1" t="n">
        <f aca="false">D229*E229/100</f>
        <v>0.968</v>
      </c>
      <c r="H229" s="0" t="n">
        <v>2</v>
      </c>
      <c r="I229" s="0" t="s">
        <v>12</v>
      </c>
      <c r="J229" s="0" t="s">
        <v>21</v>
      </c>
      <c r="K229" s="0" t="n">
        <v>25</v>
      </c>
      <c r="L229" s="0" t="n">
        <v>2.94</v>
      </c>
      <c r="M229" s="1" t="n">
        <f aca="false">K229*L229/100</f>
        <v>0.735</v>
      </c>
      <c r="N229" s="1" t="n">
        <f aca="false">100 * (((K229)/(100)) - ((100-K229)/(L229*100-100)))</f>
        <v>-13.659793814433</v>
      </c>
    </row>
    <row r="230" customFormat="false" ht="12.8" hidden="false" customHeight="false" outlineLevel="0" collapsed="false">
      <c r="A230" s="0" t="n">
        <v>228</v>
      </c>
      <c r="B230" s="0" t="s">
        <v>218</v>
      </c>
      <c r="C230" s="0" t="s">
        <v>219</v>
      </c>
      <c r="D230" s="0" t="n">
        <v>45</v>
      </c>
      <c r="E230" s="0" t="n">
        <v>2.14</v>
      </c>
      <c r="F230" s="1" t="n">
        <f aca="false">D230*E230/100</f>
        <v>0.963</v>
      </c>
      <c r="H230" s="0" t="n">
        <v>156</v>
      </c>
      <c r="I230" s="0" t="s">
        <v>93</v>
      </c>
      <c r="J230" s="0" t="s">
        <v>225</v>
      </c>
      <c r="K230" s="0" t="n">
        <v>14</v>
      </c>
      <c r="L230" s="0" t="n">
        <v>4.01</v>
      </c>
      <c r="M230" s="1" t="n">
        <f aca="false">K230*L230/100</f>
        <v>0.5614</v>
      </c>
      <c r="N230" s="1" t="n">
        <f aca="false">100 * (((K230)/(100)) - ((100-K230)/(L230*100-100)))</f>
        <v>-14.5714285714286</v>
      </c>
    </row>
    <row r="231" customFormat="false" ht="12.8" hidden="false" customHeight="false" outlineLevel="0" collapsed="false">
      <c r="A231" s="0" t="n">
        <v>229</v>
      </c>
      <c r="B231" s="0" t="s">
        <v>66</v>
      </c>
      <c r="C231" s="0" t="s">
        <v>67</v>
      </c>
      <c r="D231" s="0" t="n">
        <v>63</v>
      </c>
      <c r="E231" s="0" t="n">
        <v>1.65</v>
      </c>
      <c r="F231" s="1" t="n">
        <f aca="false">D231*E231/100</f>
        <v>1.0395</v>
      </c>
      <c r="H231" s="0" t="n">
        <v>95</v>
      </c>
      <c r="I231" s="0" t="s">
        <v>72</v>
      </c>
      <c r="J231" s="0" t="n">
        <v>2</v>
      </c>
      <c r="K231" s="0" t="n">
        <v>30</v>
      </c>
      <c r="L231" s="0" t="n">
        <v>2.56</v>
      </c>
      <c r="M231" s="1" t="n">
        <f aca="false">K231*L231/100</f>
        <v>0.768</v>
      </c>
      <c r="N231" s="1" t="n">
        <f aca="false">100 * (((K231)/(100)) - ((100-K231)/(L231*100-100)))</f>
        <v>-14.8717948717949</v>
      </c>
    </row>
    <row r="232" customFormat="false" ht="12.8" hidden="false" customHeight="false" outlineLevel="0" collapsed="false">
      <c r="A232" s="0" t="n">
        <v>230</v>
      </c>
      <c r="B232" s="0" t="s">
        <v>66</v>
      </c>
      <c r="C232" s="0" t="s">
        <v>219</v>
      </c>
      <c r="D232" s="0" t="n">
        <v>37</v>
      </c>
      <c r="E232" s="0" t="n">
        <v>2.36</v>
      </c>
      <c r="F232" s="1" t="n">
        <f aca="false">D232*E232/100</f>
        <v>0.8732</v>
      </c>
      <c r="H232" s="0" t="n">
        <v>10</v>
      </c>
      <c r="I232" s="0" t="s">
        <v>14</v>
      </c>
      <c r="J232" s="0" t="s">
        <v>45</v>
      </c>
      <c r="K232" s="0" t="n">
        <v>18</v>
      </c>
      <c r="L232" s="0" t="n">
        <v>3.49</v>
      </c>
      <c r="M232" s="1" t="n">
        <f aca="false">K232*L232/100</f>
        <v>0.6282</v>
      </c>
      <c r="N232" s="1" t="n">
        <f aca="false">100 * (((K232)/(100)) - ((100-K232)/(L232*100-100)))</f>
        <v>-14.9317269076305</v>
      </c>
    </row>
    <row r="233" customFormat="false" ht="12.8" hidden="false" customHeight="false" outlineLevel="0" collapsed="false">
      <c r="A233" s="0" t="n">
        <v>231</v>
      </c>
      <c r="B233" s="0" t="s">
        <v>198</v>
      </c>
      <c r="C233" s="0" t="s">
        <v>199</v>
      </c>
      <c r="D233" s="0" t="n">
        <v>22</v>
      </c>
      <c r="E233" s="0" t="n">
        <v>4.25</v>
      </c>
      <c r="F233" s="1" t="n">
        <f aca="false">D233*E233/100</f>
        <v>0.935</v>
      </c>
      <c r="H233" s="0" t="n">
        <v>83</v>
      </c>
      <c r="I233" s="0" t="s">
        <v>37</v>
      </c>
      <c r="J233" s="0" t="s">
        <v>160</v>
      </c>
      <c r="K233" s="0" t="n">
        <v>1</v>
      </c>
      <c r="L233" s="0" t="n">
        <v>6.99</v>
      </c>
      <c r="M233" s="1" t="n">
        <f aca="false">K233*L233/100</f>
        <v>0.0699</v>
      </c>
      <c r="N233" s="1" t="n">
        <f aca="false">100 * (((K233)/(100)) - ((100-K233)/(L233*100-100)))</f>
        <v>-15.5275459098498</v>
      </c>
    </row>
    <row r="234" customFormat="false" ht="12.8" hidden="false" customHeight="false" outlineLevel="0" collapsed="false">
      <c r="A234" s="0" t="n">
        <v>232</v>
      </c>
      <c r="B234" s="0" t="s">
        <v>198</v>
      </c>
      <c r="C234" s="0" t="s">
        <v>231</v>
      </c>
      <c r="D234" s="0" t="n">
        <v>36</v>
      </c>
      <c r="E234" s="0" t="n">
        <v>2.56</v>
      </c>
      <c r="F234" s="1" t="n">
        <f aca="false">D234*E234/100</f>
        <v>0.9216</v>
      </c>
      <c r="H234" s="0" t="n">
        <v>152</v>
      </c>
      <c r="I234" s="0" t="s">
        <v>93</v>
      </c>
      <c r="J234" s="0" t="s">
        <v>221</v>
      </c>
      <c r="K234" s="0" t="n">
        <v>21</v>
      </c>
      <c r="L234" s="0" t="n">
        <v>3.16</v>
      </c>
      <c r="M234" s="1" t="n">
        <f aca="false">K234*L234/100</f>
        <v>0.6636</v>
      </c>
      <c r="N234" s="1" t="n">
        <f aca="false">100 * (((K234)/(100)) - ((100-K234)/(L234*100-100)))</f>
        <v>-15.5740740740741</v>
      </c>
    </row>
    <row r="235" customFormat="false" ht="12.8" hidden="false" customHeight="false" outlineLevel="0" collapsed="false">
      <c r="A235" s="0" t="n">
        <v>233</v>
      </c>
      <c r="B235" s="0" t="s">
        <v>198</v>
      </c>
      <c r="C235" s="0" t="s">
        <v>227</v>
      </c>
      <c r="D235" s="0" t="n">
        <v>17</v>
      </c>
      <c r="E235" s="0" t="n">
        <v>4.93</v>
      </c>
      <c r="F235" s="1" t="n">
        <f aca="false">D235*E235/100</f>
        <v>0.8381</v>
      </c>
      <c r="H235" s="0" t="n">
        <v>245</v>
      </c>
      <c r="I235" s="0" t="s">
        <v>16</v>
      </c>
      <c r="J235" s="0" t="s">
        <v>55</v>
      </c>
      <c r="K235" s="0" t="n">
        <v>18</v>
      </c>
      <c r="L235" s="0" t="n">
        <v>3.37</v>
      </c>
      <c r="M235" s="1" t="n">
        <f aca="false">K235*L235/100</f>
        <v>0.6066</v>
      </c>
      <c r="N235" s="1" t="n">
        <f aca="false">100 * (((K235)/(100)) - ((100-K235)/(L235*100-100)))</f>
        <v>-16.5991561181435</v>
      </c>
    </row>
    <row r="236" customFormat="false" ht="12.8" hidden="false" customHeight="false" outlineLevel="0" collapsed="false">
      <c r="A236" s="0" t="n">
        <v>234</v>
      </c>
      <c r="B236" s="0" t="s">
        <v>198</v>
      </c>
      <c r="C236" s="0" t="s">
        <v>229</v>
      </c>
      <c r="D236" s="0" t="n">
        <v>10</v>
      </c>
      <c r="E236" s="0" t="n">
        <v>7.3</v>
      </c>
      <c r="F236" s="1" t="n">
        <f aca="false">D236*E236/100</f>
        <v>0.73</v>
      </c>
      <c r="H236" s="0" t="n">
        <v>239</v>
      </c>
      <c r="I236" s="0" t="s">
        <v>47</v>
      </c>
      <c r="J236" s="0" t="s">
        <v>55</v>
      </c>
      <c r="K236" s="0" t="n">
        <v>40</v>
      </c>
      <c r="L236" s="0" t="n">
        <v>2.06</v>
      </c>
      <c r="M236" s="1" t="n">
        <f aca="false">K236*L236/100</f>
        <v>0.824</v>
      </c>
      <c r="N236" s="1" t="n">
        <f aca="false">100 * (((K236)/(100)) - ((100-K236)/(L236*100-100)))</f>
        <v>-16.6037735849057</v>
      </c>
    </row>
    <row r="237" customFormat="false" ht="12.8" hidden="false" customHeight="false" outlineLevel="0" collapsed="false">
      <c r="A237" s="0" t="n">
        <v>235</v>
      </c>
      <c r="B237" s="0" t="s">
        <v>198</v>
      </c>
      <c r="C237" s="0" t="s">
        <v>209</v>
      </c>
      <c r="D237" s="0" t="n">
        <v>11</v>
      </c>
      <c r="E237" s="0" t="n">
        <v>7.49</v>
      </c>
      <c r="F237" s="1" t="n">
        <f aca="false">D237*E237/100</f>
        <v>0.8239</v>
      </c>
      <c r="H237" s="0" t="n">
        <v>76</v>
      </c>
      <c r="I237" s="0" t="s">
        <v>37</v>
      </c>
      <c r="J237" s="0" t="s">
        <v>150</v>
      </c>
      <c r="K237" s="0" t="n">
        <v>59</v>
      </c>
      <c r="L237" s="0" t="n">
        <v>1.54</v>
      </c>
      <c r="M237" s="1" t="n">
        <f aca="false">K237*L237/100</f>
        <v>0.9086</v>
      </c>
      <c r="N237" s="1" t="n">
        <f aca="false">100 * (((K237)/(100)) - ((100-K237)/(L237*100-100)))</f>
        <v>-16.9259259259259</v>
      </c>
    </row>
    <row r="238" customFormat="false" ht="12.8" hidden="false" customHeight="false" outlineLevel="0" collapsed="false">
      <c r="A238" s="0" t="n">
        <v>236</v>
      </c>
      <c r="B238" s="0" t="s">
        <v>198</v>
      </c>
      <c r="C238" s="0" t="s">
        <v>234</v>
      </c>
      <c r="D238" s="0" t="n">
        <v>4</v>
      </c>
      <c r="E238" s="0" t="n">
        <v>9.64</v>
      </c>
      <c r="F238" s="1" t="n">
        <f aca="false">D238*E238/100</f>
        <v>0.3856</v>
      </c>
      <c r="H238" s="0" t="n">
        <v>99</v>
      </c>
      <c r="I238" s="0" t="s">
        <v>39</v>
      </c>
      <c r="J238" s="0" t="s">
        <v>55</v>
      </c>
      <c r="K238" s="0" t="n">
        <v>21</v>
      </c>
      <c r="L238" s="0" t="n">
        <v>3.05</v>
      </c>
      <c r="M238" s="1" t="n">
        <f aca="false">K238*L238/100</f>
        <v>0.6405</v>
      </c>
      <c r="N238" s="1" t="n">
        <f aca="false">100 * (((K238)/(100)) - ((100-K238)/(L238*100-100)))</f>
        <v>-17.5365853658537</v>
      </c>
    </row>
    <row r="239" customFormat="false" ht="12.8" hidden="false" customHeight="false" outlineLevel="0" collapsed="false">
      <c r="A239" s="0" t="n">
        <v>237</v>
      </c>
      <c r="B239" s="0" t="s">
        <v>191</v>
      </c>
      <c r="C239" s="0" t="s">
        <v>55</v>
      </c>
      <c r="D239" s="0" t="n">
        <v>53</v>
      </c>
      <c r="E239" s="0" t="n">
        <v>1.79</v>
      </c>
      <c r="F239" s="1" t="n">
        <f aca="false">D239*E239/100</f>
        <v>0.9487</v>
      </c>
      <c r="H239" s="0" t="n">
        <v>101</v>
      </c>
      <c r="I239" s="0" t="s">
        <v>48</v>
      </c>
      <c r="J239" s="0" t="s">
        <v>55</v>
      </c>
      <c r="K239" s="0" t="n">
        <v>14</v>
      </c>
      <c r="L239" s="0" t="n">
        <v>3.6</v>
      </c>
      <c r="M239" s="1" t="n">
        <f aca="false">K239*L239/100</f>
        <v>0.504</v>
      </c>
      <c r="N239" s="1" t="n">
        <f aca="false">100 * (((K239)/(100)) - ((100-K239)/(L239*100-100)))</f>
        <v>-19.0769230769231</v>
      </c>
    </row>
    <row r="240" customFormat="false" ht="12.8" hidden="false" customHeight="false" outlineLevel="0" collapsed="false">
      <c r="A240" s="0" t="n">
        <v>238</v>
      </c>
      <c r="B240" s="0" t="s">
        <v>191</v>
      </c>
      <c r="C240" s="0" t="s">
        <v>17</v>
      </c>
      <c r="D240" s="0" t="n">
        <v>47</v>
      </c>
      <c r="E240" s="0" t="n">
        <v>2.09</v>
      </c>
      <c r="F240" s="1" t="n">
        <f aca="false">D240*E240/100</f>
        <v>0.9823</v>
      </c>
      <c r="H240" s="0" t="n">
        <v>120</v>
      </c>
      <c r="I240" s="0" t="s">
        <v>42</v>
      </c>
      <c r="J240" s="0" t="s">
        <v>169</v>
      </c>
      <c r="K240" s="0" t="n">
        <v>41</v>
      </c>
      <c r="L240" s="0" t="n">
        <v>1.98</v>
      </c>
      <c r="M240" s="1" t="n">
        <f aca="false">K240*L240/100</f>
        <v>0.8118</v>
      </c>
      <c r="N240" s="1" t="n">
        <f aca="false">100 * (((K240)/(100)) - ((100-K240)/(L240*100-100)))</f>
        <v>-19.2040816326531</v>
      </c>
    </row>
    <row r="241" customFormat="false" ht="12.8" hidden="false" customHeight="false" outlineLevel="0" collapsed="false">
      <c r="A241" s="0" t="n">
        <v>239</v>
      </c>
      <c r="B241" s="0" t="s">
        <v>47</v>
      </c>
      <c r="C241" s="0" t="s">
        <v>55</v>
      </c>
      <c r="D241" s="0" t="n">
        <v>40</v>
      </c>
      <c r="E241" s="0" t="n">
        <v>2.06</v>
      </c>
      <c r="F241" s="1" t="n">
        <f aca="false">D241*E241/100</f>
        <v>0.824</v>
      </c>
      <c r="H241" s="0" t="n">
        <v>164</v>
      </c>
      <c r="I241" s="0" t="s">
        <v>102</v>
      </c>
      <c r="J241" s="0" t="s">
        <v>228</v>
      </c>
      <c r="K241" s="0" t="n">
        <v>33</v>
      </c>
      <c r="L241" s="0" t="n">
        <v>2.27</v>
      </c>
      <c r="M241" s="1" t="n">
        <f aca="false">K241*L241/100</f>
        <v>0.7491</v>
      </c>
      <c r="N241" s="1" t="n">
        <f aca="false">100 * (((K241)/(100)) - ((100-K241)/(L241*100-100)))</f>
        <v>-19.755905511811</v>
      </c>
    </row>
    <row r="242" customFormat="false" ht="12.8" hidden="false" customHeight="false" outlineLevel="0" collapsed="false">
      <c r="A242" s="0" t="n">
        <v>240</v>
      </c>
      <c r="B242" s="0" t="s">
        <v>47</v>
      </c>
      <c r="C242" s="0" t="s">
        <v>17</v>
      </c>
      <c r="D242" s="0" t="n">
        <v>60</v>
      </c>
      <c r="E242" s="0" t="n">
        <v>1.82</v>
      </c>
      <c r="F242" s="1" t="n">
        <f aca="false">D242*E242/100</f>
        <v>1.092</v>
      </c>
      <c r="H242" s="0" t="n">
        <v>92</v>
      </c>
      <c r="I242" s="0" t="s">
        <v>35</v>
      </c>
      <c r="J242" s="0" t="n">
        <v>2</v>
      </c>
      <c r="K242" s="0" t="n">
        <v>36</v>
      </c>
      <c r="L242" s="0" t="n">
        <v>2.13</v>
      </c>
      <c r="M242" s="1" t="n">
        <f aca="false">K242*L242/100</f>
        <v>0.7668</v>
      </c>
      <c r="N242" s="1" t="n">
        <f aca="false">100 * (((K242)/(100)) - ((100-K242)/(L242*100-100)))</f>
        <v>-20.6371681415929</v>
      </c>
    </row>
    <row r="243" customFormat="false" ht="12.8" hidden="false" customHeight="false" outlineLevel="0" collapsed="false">
      <c r="A243" s="0" t="n">
        <v>241</v>
      </c>
      <c r="B243" s="0" t="s">
        <v>54</v>
      </c>
      <c r="C243" s="0" t="s">
        <v>55</v>
      </c>
      <c r="D243" s="0" t="n">
        <v>51</v>
      </c>
      <c r="E243" s="0" t="n">
        <v>2.23</v>
      </c>
      <c r="F243" s="1" t="n">
        <f aca="false">D243*E243/100</f>
        <v>1.1373</v>
      </c>
      <c r="H243" s="0" t="n">
        <v>78</v>
      </c>
      <c r="I243" s="0" t="s">
        <v>37</v>
      </c>
      <c r="J243" s="0" t="s">
        <v>153</v>
      </c>
      <c r="K243" s="0" t="n">
        <v>13</v>
      </c>
      <c r="L243" s="0" t="n">
        <v>3.53</v>
      </c>
      <c r="M243" s="1" t="n">
        <f aca="false">K243*L243/100</f>
        <v>0.4589</v>
      </c>
      <c r="N243" s="1" t="n">
        <f aca="false">100 * (((K243)/(100)) - ((100-K243)/(L243*100-100)))</f>
        <v>-21.3873517786561</v>
      </c>
    </row>
    <row r="244" customFormat="false" ht="12.8" hidden="false" customHeight="false" outlineLevel="0" collapsed="false">
      <c r="A244" s="0" t="n">
        <v>242</v>
      </c>
      <c r="B244" s="0" t="s">
        <v>54</v>
      </c>
      <c r="C244" s="0" t="s">
        <v>17</v>
      </c>
      <c r="D244" s="0" t="n">
        <v>49</v>
      </c>
      <c r="E244" s="0" t="n">
        <v>1.67</v>
      </c>
      <c r="F244" s="1" t="n">
        <f aca="false">D244*E244/100</f>
        <v>0.8183</v>
      </c>
      <c r="H244" s="0" t="n">
        <v>71</v>
      </c>
      <c r="I244" s="0" t="s">
        <v>23</v>
      </c>
      <c r="J244" s="0" t="s">
        <v>135</v>
      </c>
      <c r="K244" s="0" t="n">
        <v>22</v>
      </c>
      <c r="L244" s="0" t="n">
        <v>2.78</v>
      </c>
      <c r="M244" s="1" t="n">
        <f aca="false">K244*L244/100</f>
        <v>0.6116</v>
      </c>
      <c r="N244" s="1" t="n">
        <f aca="false">100 * (((K244)/(100)) - ((100-K244)/(L244*100-100)))</f>
        <v>-21.8202247191011</v>
      </c>
    </row>
    <row r="245" customFormat="false" ht="12.8" hidden="false" customHeight="false" outlineLevel="0" collapsed="false">
      <c r="A245" s="0" t="n">
        <v>243</v>
      </c>
      <c r="B245" s="0" t="s">
        <v>62</v>
      </c>
      <c r="C245" s="0" t="s">
        <v>55</v>
      </c>
      <c r="D245" s="0" t="n">
        <v>11</v>
      </c>
      <c r="E245" s="0" t="n">
        <v>5.45</v>
      </c>
      <c r="F245" s="1" t="n">
        <f aca="false">D245*E245/100</f>
        <v>0.5995</v>
      </c>
      <c r="H245" s="0" t="n">
        <v>8</v>
      </c>
      <c r="I245" s="0" t="s">
        <v>14</v>
      </c>
      <c r="J245" s="0" t="s">
        <v>40</v>
      </c>
      <c r="K245" s="0" t="n">
        <v>36</v>
      </c>
      <c r="L245" s="0" t="n">
        <v>2.09</v>
      </c>
      <c r="M245" s="1" t="n">
        <f aca="false">K245*L245/100</f>
        <v>0.7524</v>
      </c>
      <c r="N245" s="1" t="n">
        <f aca="false">100 * (((K245)/(100)) - ((100-K245)/(L245*100-100)))</f>
        <v>-22.7155963302752</v>
      </c>
    </row>
    <row r="246" customFormat="false" ht="12.8" hidden="false" customHeight="false" outlineLevel="0" collapsed="false">
      <c r="A246" s="0" t="n">
        <v>244</v>
      </c>
      <c r="B246" s="0" t="s">
        <v>62</v>
      </c>
      <c r="C246" s="0" t="s">
        <v>17</v>
      </c>
      <c r="D246" s="0" t="n">
        <v>89</v>
      </c>
      <c r="E246" s="0" t="n">
        <v>0</v>
      </c>
      <c r="F246" s="1" t="n">
        <f aca="false">D246*E246/100</f>
        <v>0</v>
      </c>
      <c r="H246" s="0" t="n">
        <v>61</v>
      </c>
      <c r="I246" s="0" t="s">
        <v>49</v>
      </c>
      <c r="J246" s="0" t="s">
        <v>133</v>
      </c>
      <c r="K246" s="0" t="n">
        <v>59</v>
      </c>
      <c r="L246" s="0" t="n">
        <v>1.5</v>
      </c>
      <c r="M246" s="1" t="n">
        <f aca="false">K246*L246/100</f>
        <v>0.885</v>
      </c>
      <c r="N246" s="1" t="n">
        <f aca="false">100 * (((K246)/(100)) - ((100-K246)/(L246*100-100)))</f>
        <v>-23</v>
      </c>
    </row>
    <row r="247" customFormat="false" ht="12.8" hidden="false" customHeight="false" outlineLevel="0" collapsed="false">
      <c r="A247" s="0" t="n">
        <v>245</v>
      </c>
      <c r="B247" s="0" t="s">
        <v>16</v>
      </c>
      <c r="C247" s="0" t="s">
        <v>55</v>
      </c>
      <c r="D247" s="0" t="n">
        <v>18</v>
      </c>
      <c r="E247" s="0" t="n">
        <v>3.37</v>
      </c>
      <c r="F247" s="1" t="n">
        <f aca="false">D247*E247/100</f>
        <v>0.6066</v>
      </c>
      <c r="H247" s="0" t="n">
        <v>242</v>
      </c>
      <c r="I247" s="0" t="s">
        <v>54</v>
      </c>
      <c r="J247" s="0" t="s">
        <v>17</v>
      </c>
      <c r="K247" s="0" t="n">
        <v>49</v>
      </c>
      <c r="L247" s="0" t="n">
        <v>1.67</v>
      </c>
      <c r="M247" s="1" t="n">
        <f aca="false">K247*L247/100</f>
        <v>0.8183</v>
      </c>
      <c r="N247" s="1" t="n">
        <f aca="false">100 * (((K247)/(100)) - ((100-K247)/(L247*100-100)))</f>
        <v>-27.1194029850746</v>
      </c>
    </row>
    <row r="248" customFormat="false" ht="12.8" hidden="false" customHeight="false" outlineLevel="0" collapsed="false">
      <c r="A248" s="0" t="n">
        <v>246</v>
      </c>
      <c r="B248" s="0" t="s">
        <v>16</v>
      </c>
      <c r="C248" s="0" t="s">
        <v>17</v>
      </c>
      <c r="D248" s="0" t="n">
        <v>82</v>
      </c>
      <c r="E248" s="0" t="n">
        <v>1.4</v>
      </c>
      <c r="F248" s="1" t="n">
        <f aca="false">D248*E248/100</f>
        <v>1.148</v>
      </c>
      <c r="H248" s="0" t="n">
        <v>60</v>
      </c>
      <c r="I248" s="0" t="s">
        <v>49</v>
      </c>
      <c r="J248" s="0" t="s">
        <v>132</v>
      </c>
      <c r="K248" s="0" t="n">
        <v>66</v>
      </c>
      <c r="L248" s="0" t="n">
        <v>1.35</v>
      </c>
      <c r="M248" s="1" t="n">
        <f aca="false">K248*L248/100</f>
        <v>0.891</v>
      </c>
      <c r="N248" s="1" t="n">
        <f aca="false">100 * (((K248)/(100)) - ((100-K248)/(L248*100-100)))</f>
        <v>-31.1428571428571</v>
      </c>
    </row>
    <row r="249" customFormat="false" ht="12.8" hidden="false" customHeight="false" outlineLevel="0" collapsed="false">
      <c r="A249" s="0" t="n">
        <v>247</v>
      </c>
      <c r="B249" s="0" t="s">
        <v>23</v>
      </c>
      <c r="C249" s="0" t="s">
        <v>235</v>
      </c>
      <c r="D249" s="0" t="n">
        <v>86</v>
      </c>
      <c r="F249" s="1" t="n">
        <f aca="false">D249*E249/100</f>
        <v>0</v>
      </c>
      <c r="M249" s="1"/>
      <c r="N249" s="1"/>
    </row>
    <row r="250" customFormat="false" ht="12.8" hidden="false" customHeight="false" outlineLevel="0" collapsed="false">
      <c r="A250" s="0" t="n">
        <v>248</v>
      </c>
      <c r="B250" s="0" t="s">
        <v>23</v>
      </c>
      <c r="C250" s="0" t="s">
        <v>236</v>
      </c>
      <c r="D250" s="0" t="n">
        <v>14</v>
      </c>
      <c r="F250" s="1" t="n">
        <f aca="false">D250*E250/100</f>
        <v>0</v>
      </c>
      <c r="M250" s="1"/>
      <c r="N250" s="1"/>
    </row>
    <row r="251" customFormat="false" ht="12.8" hidden="false" customHeight="false" outlineLevel="0" collapsed="false">
      <c r="A251" s="0" t="n">
        <v>249</v>
      </c>
      <c r="B251" s="0" t="s">
        <v>37</v>
      </c>
      <c r="C251" s="0" t="s">
        <v>237</v>
      </c>
      <c r="D251" s="0" t="n">
        <v>74</v>
      </c>
      <c r="F251" s="1" t="n">
        <f aca="false">D251*E251/100</f>
        <v>0</v>
      </c>
      <c r="M251" s="1"/>
      <c r="N251" s="1"/>
    </row>
    <row r="252" customFormat="false" ht="12.8" hidden="false" customHeight="false" outlineLevel="0" collapsed="false">
      <c r="A252" s="0" t="n">
        <v>250</v>
      </c>
      <c r="B252" s="0" t="s">
        <v>37</v>
      </c>
      <c r="C252" s="0" t="s">
        <v>238</v>
      </c>
      <c r="D252" s="0" t="n">
        <v>18</v>
      </c>
      <c r="F252" s="1" t="n">
        <f aca="false">D252*E252/100</f>
        <v>0</v>
      </c>
      <c r="M252" s="1"/>
      <c r="N252" s="1"/>
    </row>
    <row r="253" customFormat="false" ht="12.8" hidden="false" customHeight="false" outlineLevel="0" collapsed="false">
      <c r="A253" s="0" t="n">
        <v>251</v>
      </c>
      <c r="B253" s="0" t="s">
        <v>37</v>
      </c>
      <c r="C253" s="0" t="s">
        <v>239</v>
      </c>
      <c r="D253" s="0" t="n">
        <v>8</v>
      </c>
      <c r="F253" s="1" t="n">
        <f aca="false">D253*E253/100</f>
        <v>0</v>
      </c>
      <c r="M253" s="1"/>
      <c r="N25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2024-10-26T11:14:06Z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